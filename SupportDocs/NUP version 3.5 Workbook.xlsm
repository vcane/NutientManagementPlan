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00000000-0000-0000-0000-000000000000}"/>
  <workbookPr codeName="ThisWorkbook"/>
  <mc:AlternateContent xmlns:mc="http://schemas.openxmlformats.org/markup-compatibility/2006">
    <mc:Choice Requires="x15">
      <x15ac:absPath xmlns:x15ac="http://schemas.microsoft.com/office/spreadsheetml/2010/11/ac" url="V:\wwwroot\feedlots\download\"/>
    </mc:Choice>
  </mc:AlternateContent>
  <bookViews>
    <workbookView xWindow="0" yWindow="0" windowWidth="25200" windowHeight="11760"/>
  </bookViews>
  <sheets>
    <sheet name="Instructions" sheetId="53" r:id="rId1"/>
    <sheet name="Fields" sheetId="8" r:id="rId2"/>
    <sheet name="Input" sheetId="1" r:id="rId3"/>
    <sheet name="Worksheet" sheetId="2" r:id="rId4"/>
    <sheet name="SM_Analysis" sheetId="6" r:id="rId5"/>
    <sheet name="Removal" sheetId="3" r:id="rId6"/>
    <sheet name="Summary" sheetId="11" r:id="rId7"/>
    <sheet name="Nitrogen Rates" sheetId="32" r:id="rId8"/>
    <sheet name="Soil Test P" sheetId="4" r:id="rId9"/>
    <sheet name="Manure" sheetId="5" r:id="rId10"/>
    <sheet name="PPM" sheetId="7" r:id="rId11"/>
  </sheets>
  <definedNames>
    <definedName name="_xlnm._FilterDatabase" localSheetId="1" hidden="1">Fields!$Q$6:$Q$9</definedName>
    <definedName name="Application">Fields!$L$6:$L$16</definedName>
    <definedName name="Bray">'Soil Test P'!$B$32:$L$49</definedName>
    <definedName name="CATEGORY">Fields!$N$12:$N$14</definedName>
    <definedName name="County">Fields!$I$8:$I$112</definedName>
    <definedName name="Crop">Removal!$B$5:$B$41</definedName>
    <definedName name="Field">Fields!$B$11:$B$50</definedName>
    <definedName name="Field_ID">Fields!$B$10:$B$50</definedName>
    <definedName name="MANURE">Manure!$B$6:$F$14</definedName>
    <definedName name="Olsen">'Soil Test P'!$B$58:$L$75</definedName>
    <definedName name="Previous">Fields!$N$8:$N$9</definedName>
    <definedName name="_xlnm.Print_Area" localSheetId="1">Fields!$A$1:$G$50</definedName>
    <definedName name="_xlnm.Print_Area" localSheetId="2">Input!$B$1:$N$43</definedName>
    <definedName name="_xlnm.Print_Area" localSheetId="0">Instructions!$B$1:$B$105</definedName>
    <definedName name="_xlnm.Print_Area" localSheetId="5">Removal!$B$1:$L$42</definedName>
    <definedName name="_xlnm.Print_Area" localSheetId="4">SM_Analysis!$B$2:$O$45</definedName>
    <definedName name="_xlnm.Print_Area" localSheetId="6">Summary!$B$2:$H$28</definedName>
    <definedName name="_xlnm.Print_Area" localSheetId="3">Worksheet!$B$1:$L$35</definedName>
    <definedName name="Rainfall">Fields!$J$8:$J$112</definedName>
    <definedName name="Rate">Fields!$Q$6:$Q$9</definedName>
    <definedName name="REMOVAL">Removal!$B$5:$I$33</definedName>
    <definedName name="Type">Fields!$N$19:$N$20</definedName>
  </definedNames>
  <calcPr calcId="171027" calcMode="autoNoTable" iterate="1" iterateCount="1" iterateDelta="0"/>
</workbook>
</file>

<file path=xl/calcChain.xml><?xml version="1.0" encoding="utf-8"?>
<calcChain xmlns="http://schemas.openxmlformats.org/spreadsheetml/2006/main">
  <c r="C4" i="11" l="1"/>
  <c r="E6" i="11"/>
  <c r="C6" i="11"/>
  <c r="C9" i="1"/>
  <c r="G9" i="1"/>
  <c r="K8" i="1"/>
  <c r="K9" i="1"/>
  <c r="K10" i="1"/>
  <c r="K11" i="1"/>
  <c r="D11" i="1"/>
  <c r="R29" i="1"/>
  <c r="R25" i="1"/>
  <c r="R26" i="1"/>
  <c r="R24" i="1" s="1"/>
  <c r="R27" i="1"/>
  <c r="R28" i="1"/>
  <c r="R30" i="1"/>
  <c r="R31" i="1"/>
  <c r="R32" i="1"/>
  <c r="B21" i="1"/>
  <c r="B22" i="1" s="1"/>
  <c r="E31" i="1"/>
  <c r="M29" i="6" s="1"/>
  <c r="T19" i="1"/>
  <c r="T20" i="1"/>
  <c r="T21" i="1"/>
  <c r="T18" i="1"/>
  <c r="V24" i="2" s="1"/>
  <c r="W24" i="2" s="1"/>
  <c r="E28" i="1"/>
  <c r="F28" i="1"/>
  <c r="E29" i="1"/>
  <c r="F29" i="1"/>
  <c r="N27" i="6" s="1"/>
  <c r="S25" i="1"/>
  <c r="U25" i="1"/>
  <c r="U24" i="1" s="1"/>
  <c r="M34" i="6" s="1"/>
  <c r="S26" i="1"/>
  <c r="U26" i="1"/>
  <c r="S27" i="1"/>
  <c r="U27" i="1"/>
  <c r="S28" i="1"/>
  <c r="U28" i="1"/>
  <c r="S29" i="1"/>
  <c r="U29" i="1"/>
  <c r="S30" i="1"/>
  <c r="U30" i="1"/>
  <c r="S31" i="1"/>
  <c r="U31" i="1"/>
  <c r="S32" i="1"/>
  <c r="U32" i="1"/>
  <c r="E30" i="1"/>
  <c r="F30" i="1"/>
  <c r="F31" i="1"/>
  <c r="V18" i="1"/>
  <c r="K12" i="1"/>
  <c r="B25" i="2" s="1"/>
  <c r="D34" i="1"/>
  <c r="D33" i="1"/>
  <c r="F34" i="1"/>
  <c r="E34" i="1"/>
  <c r="F33" i="1"/>
  <c r="E33" i="1"/>
  <c r="F32" i="1"/>
  <c r="E32" i="1"/>
  <c r="D32" i="1"/>
  <c r="C36" i="1"/>
  <c r="C37" i="1"/>
  <c r="F27" i="1"/>
  <c r="E27" i="1"/>
  <c r="D27" i="1"/>
  <c r="I16" i="1"/>
  <c r="L16" i="1"/>
  <c r="R17" i="1"/>
  <c r="R16" i="1" s="1"/>
  <c r="R18" i="1"/>
  <c r="R19" i="1"/>
  <c r="R20" i="1"/>
  <c r="R21" i="1"/>
  <c r="M23" i="1"/>
  <c r="D28" i="1"/>
  <c r="D29" i="1"/>
  <c r="D30" i="1"/>
  <c r="D31" i="1"/>
  <c r="L29" i="6" s="1"/>
  <c r="N26" i="6"/>
  <c r="N28" i="6"/>
  <c r="F17" i="5"/>
  <c r="E14" i="6"/>
  <c r="E25" i="6"/>
  <c r="G25" i="6" s="1"/>
  <c r="E15" i="6"/>
  <c r="E26" i="6" s="1"/>
  <c r="G26" i="6" s="1"/>
  <c r="E16" i="6"/>
  <c r="E27" i="6" s="1"/>
  <c r="G27" i="6" s="1"/>
  <c r="E17" i="6"/>
  <c r="E28" i="6" s="1"/>
  <c r="G28" i="6" s="1"/>
  <c r="Q21" i="2"/>
  <c r="F21" i="6" s="1"/>
  <c r="B6" i="32"/>
  <c r="F6" i="32" s="1"/>
  <c r="C6" i="32"/>
  <c r="D21" i="2"/>
  <c r="J21" i="2"/>
  <c r="Q22" i="2" s="1"/>
  <c r="B7" i="32"/>
  <c r="C7" i="32"/>
  <c r="F7" i="32" s="1"/>
  <c r="D22" i="2"/>
  <c r="J22" i="2" s="1"/>
  <c r="B8" i="32"/>
  <c r="C8" i="32"/>
  <c r="F8" i="32"/>
  <c r="D23" i="2"/>
  <c r="J23" i="2" s="1"/>
  <c r="B9" i="32"/>
  <c r="F9" i="32" s="1"/>
  <c r="C9" i="32"/>
  <c r="D24" i="2"/>
  <c r="J24" i="2" s="1"/>
  <c r="D7" i="32"/>
  <c r="D8" i="32"/>
  <c r="D9" i="32"/>
  <c r="B10" i="32"/>
  <c r="D10" i="32" s="1"/>
  <c r="C10" i="32"/>
  <c r="F10" i="32" s="1"/>
  <c r="D6" i="32"/>
  <c r="A10" i="32"/>
  <c r="A9" i="32"/>
  <c r="A8" i="32"/>
  <c r="A7" i="32"/>
  <c r="A6" i="32"/>
  <c r="J41" i="3"/>
  <c r="J40" i="3"/>
  <c r="J39" i="3"/>
  <c r="J38" i="3"/>
  <c r="J37" i="3"/>
  <c r="J36" i="3"/>
  <c r="J35" i="3"/>
  <c r="J34" i="3"/>
  <c r="J33" i="3"/>
  <c r="J32" i="3"/>
  <c r="J31" i="3"/>
  <c r="J30" i="3"/>
  <c r="J29" i="3"/>
  <c r="J28" i="3"/>
  <c r="J27" i="3"/>
  <c r="J26" i="3"/>
  <c r="J25" i="3"/>
  <c r="J24" i="3"/>
  <c r="J23" i="3"/>
  <c r="J22" i="3"/>
  <c r="J21" i="3"/>
  <c r="J20" i="3"/>
  <c r="J19" i="3"/>
  <c r="J18" i="3"/>
  <c r="J17" i="3"/>
  <c r="J16" i="3"/>
  <c r="J15" i="3"/>
  <c r="J14" i="3"/>
  <c r="J13" i="3"/>
  <c r="J12" i="3"/>
  <c r="J11" i="3"/>
  <c r="J8" i="3"/>
  <c r="J7" i="3"/>
  <c r="J5" i="3"/>
  <c r="L2" i="6"/>
  <c r="M26" i="6"/>
  <c r="M27" i="6"/>
  <c r="M28" i="6"/>
  <c r="N29" i="6"/>
  <c r="L7" i="6"/>
  <c r="C21" i="6" s="1"/>
  <c r="D8" i="6"/>
  <c r="B21" i="6"/>
  <c r="D21" i="6"/>
  <c r="K29" i="6"/>
  <c r="L28" i="6"/>
  <c r="K28" i="6"/>
  <c r="L27" i="6"/>
  <c r="K27" i="6"/>
  <c r="L26" i="6"/>
  <c r="K26" i="6"/>
  <c r="N25" i="6"/>
  <c r="M25" i="6"/>
  <c r="L25" i="6"/>
  <c r="K25" i="6"/>
  <c r="M20" i="6"/>
  <c r="M19" i="6"/>
  <c r="M18" i="6"/>
  <c r="M17" i="6"/>
  <c r="M16" i="6"/>
  <c r="M15" i="6"/>
  <c r="M14" i="6"/>
  <c r="M13" i="6"/>
  <c r="F14" i="6"/>
  <c r="C17" i="6"/>
  <c r="C16" i="6"/>
  <c r="C15" i="6"/>
  <c r="L8" i="6"/>
  <c r="L6" i="6"/>
  <c r="L4" i="6"/>
  <c r="P21" i="2"/>
  <c r="E21" i="6" s="1"/>
  <c r="E15" i="11"/>
  <c r="F15" i="11"/>
  <c r="G15" i="11" s="1"/>
  <c r="H15" i="11" s="1"/>
  <c r="H27" i="11"/>
  <c r="G27" i="11"/>
  <c r="G28" i="11" s="1"/>
  <c r="F27" i="11"/>
  <c r="E27" i="11"/>
  <c r="D27" i="11"/>
  <c r="H26" i="11"/>
  <c r="G26" i="11"/>
  <c r="F26" i="11"/>
  <c r="F28" i="11" s="1"/>
  <c r="E26" i="11"/>
  <c r="E28" i="11" s="1"/>
  <c r="D26" i="11"/>
  <c r="C26" i="11"/>
  <c r="H28" i="11"/>
  <c r="D28" i="11"/>
  <c r="C21" i="2"/>
  <c r="T21" i="2"/>
  <c r="Y21" i="2" s="1"/>
  <c r="G21" i="2"/>
  <c r="G10" i="2"/>
  <c r="U21" i="2"/>
  <c r="W21" i="2" s="1"/>
  <c r="F21" i="2"/>
  <c r="V21" i="2"/>
  <c r="O21" i="2"/>
  <c r="S21" i="2" s="1"/>
  <c r="R21" i="2"/>
  <c r="I21" i="2"/>
  <c r="K21" i="2"/>
  <c r="G22" i="2"/>
  <c r="C22" i="2"/>
  <c r="T22" i="2"/>
  <c r="Y22" i="2" s="1"/>
  <c r="U22" i="2"/>
  <c r="I22" i="2"/>
  <c r="F22" i="2"/>
  <c r="K22" i="2" s="1"/>
  <c r="G23" i="2" s="1"/>
  <c r="C23" i="2"/>
  <c r="T23" i="2"/>
  <c r="Y23" i="2" s="1"/>
  <c r="U23" i="2"/>
  <c r="I23" i="2"/>
  <c r="F23" i="2"/>
  <c r="K23" i="2" s="1"/>
  <c r="G24" i="2" s="1"/>
  <c r="C24" i="2"/>
  <c r="T24" i="2"/>
  <c r="Y24" i="2" s="1"/>
  <c r="U24" i="2"/>
  <c r="F24" i="2"/>
  <c r="V22" i="2"/>
  <c r="K24" i="2"/>
  <c r="D25" i="2"/>
  <c r="I25" i="2" s="1"/>
  <c r="C25" i="2"/>
  <c r="T25" i="2"/>
  <c r="Y25" i="2" s="1"/>
  <c r="U25" i="2"/>
  <c r="F25" i="2"/>
  <c r="O22" i="2"/>
  <c r="S22" i="2" s="1"/>
  <c r="P22" i="2"/>
  <c r="R22" i="2"/>
  <c r="O23" i="2"/>
  <c r="P23" i="2"/>
  <c r="R23" i="2"/>
  <c r="O24" i="2"/>
  <c r="R24" i="2"/>
  <c r="D4" i="2"/>
  <c r="E21" i="2"/>
  <c r="E22" i="2"/>
  <c r="E23" i="2"/>
  <c r="E25" i="2"/>
  <c r="C20" i="2"/>
  <c r="B20" i="2"/>
  <c r="H21" i="2"/>
  <c r="R25" i="2"/>
  <c r="B22" i="2"/>
  <c r="B24" i="2"/>
  <c r="B23" i="2"/>
  <c r="B21" i="2"/>
  <c r="K10" i="2"/>
  <c r="D10" i="2"/>
  <c r="K8" i="2"/>
  <c r="G8" i="2"/>
  <c r="L5" i="2"/>
  <c r="C5" i="2"/>
  <c r="L21" i="2"/>
  <c r="H22" i="2"/>
  <c r="W22" i="2"/>
  <c r="H23" i="2"/>
  <c r="H24" i="2"/>
  <c r="H25" i="2"/>
  <c r="L23" i="2" l="1"/>
  <c r="Q24" i="2"/>
  <c r="L22" i="2"/>
  <c r="Q23" i="2"/>
  <c r="G29" i="6"/>
  <c r="G21" i="6" s="1"/>
  <c r="E6" i="32" s="1"/>
  <c r="S23" i="2"/>
  <c r="G25" i="2"/>
  <c r="L24" i="2"/>
  <c r="Q25" i="2"/>
  <c r="E22" i="1"/>
  <c r="G6" i="5"/>
  <c r="G10" i="5"/>
  <c r="A13" i="5"/>
  <c r="A9" i="5"/>
  <c r="F12" i="5"/>
  <c r="F6" i="5"/>
  <c r="M38" i="6"/>
  <c r="E21" i="1"/>
  <c r="F22" i="1"/>
  <c r="I34" i="6"/>
  <c r="K34" i="6" s="1"/>
  <c r="I38" i="6" s="1"/>
  <c r="L34" i="6"/>
  <c r="N34" i="6" s="1"/>
  <c r="J38" i="6" s="1"/>
  <c r="O34" i="6"/>
  <c r="K38" i="6" s="1"/>
  <c r="G13" i="5"/>
  <c r="G9" i="5"/>
  <c r="A12" i="5"/>
  <c r="A8" i="5"/>
  <c r="F9" i="5"/>
  <c r="H34" i="6"/>
  <c r="K33" i="1"/>
  <c r="F21" i="1"/>
  <c r="F23" i="1" s="1"/>
  <c r="F13" i="5"/>
  <c r="G12" i="5"/>
  <c r="G8" i="5"/>
  <c r="A11" i="5"/>
  <c r="A7" i="5"/>
  <c r="F8" i="5"/>
  <c r="L42" i="6"/>
  <c r="M42" i="6"/>
  <c r="H38" i="6"/>
  <c r="L38" i="6"/>
  <c r="E17" i="5" s="1"/>
  <c r="F11" i="5"/>
  <c r="F10" i="5"/>
  <c r="G11" i="5"/>
  <c r="G7" i="5"/>
  <c r="A10" i="5"/>
  <c r="A6" i="5"/>
  <c r="F7" i="5"/>
  <c r="L39" i="6"/>
  <c r="M39" i="6"/>
  <c r="J25" i="2"/>
  <c r="L25" i="2" s="1"/>
  <c r="E24" i="2"/>
  <c r="O25" i="2"/>
  <c r="P24" i="2"/>
  <c r="S24" i="2" s="1"/>
  <c r="V25" i="2"/>
  <c r="W25" i="2" s="1"/>
  <c r="V23" i="2"/>
  <c r="W23" i="2" s="1"/>
  <c r="K25" i="2"/>
  <c r="P25" i="2"/>
  <c r="I24" i="2"/>
  <c r="E11" i="5" l="1"/>
  <c r="E6" i="5"/>
  <c r="E12" i="5"/>
  <c r="E7" i="5"/>
  <c r="E10" i="5"/>
  <c r="E13" i="5"/>
  <c r="E9" i="5"/>
  <c r="E8" i="5"/>
  <c r="E7" i="32"/>
  <c r="G6" i="32"/>
  <c r="S25" i="2"/>
  <c r="H21" i="6"/>
  <c r="E8" i="32" l="1"/>
  <c r="G7" i="32"/>
  <c r="G8" i="32" l="1"/>
  <c r="E9" i="32"/>
  <c r="G9" i="32" l="1"/>
  <c r="E10" i="32"/>
  <c r="G10" i="32" s="1"/>
</calcChain>
</file>

<file path=xl/comments1.xml><?xml version="1.0" encoding="utf-8"?>
<comments xmlns="http://schemas.openxmlformats.org/spreadsheetml/2006/main">
  <authors>
    <author>KDA</author>
    <author>KBaum</author>
  </authors>
  <commentList>
    <comment ref="L2" authorId="0" shapeId="0">
      <text>
        <r>
          <rPr>
            <b/>
            <sz val="10"/>
            <color indexed="81"/>
            <rFont val="Tahoma"/>
            <family val="2"/>
          </rPr>
          <t xml:space="preserve">cell L2
</t>
        </r>
        <r>
          <rPr>
            <sz val="10"/>
            <color indexed="81"/>
            <rFont val="Tahoma"/>
            <family val="2"/>
          </rPr>
          <t>Enter the date you are completing this worksheet.</t>
        </r>
      </text>
    </comment>
    <comment ref="D5" authorId="0" shapeId="0">
      <text>
        <r>
          <rPr>
            <b/>
            <sz val="10"/>
            <color indexed="81"/>
            <rFont val="Tahoma"/>
            <family val="2"/>
          </rPr>
          <t>cell D5</t>
        </r>
        <r>
          <rPr>
            <sz val="10"/>
            <color indexed="81"/>
            <rFont val="Tahoma"/>
            <family val="2"/>
          </rPr>
          <t xml:space="preserve">
Insert the Facility name as it appears on the KDHE Permit.
</t>
        </r>
        <r>
          <rPr>
            <b/>
            <sz val="10"/>
            <color indexed="81"/>
            <rFont val="Tahoma"/>
            <family val="2"/>
          </rPr>
          <t>15 characters maximum</t>
        </r>
      </text>
    </comment>
    <comment ref="C7" authorId="0" shapeId="0">
      <text>
        <r>
          <rPr>
            <b/>
            <sz val="10"/>
            <color indexed="81"/>
            <rFont val="Tahoma"/>
            <family val="2"/>
          </rPr>
          <t xml:space="preserve">cell C7     Use Drop-Down-List
</t>
        </r>
        <r>
          <rPr>
            <sz val="10"/>
            <color indexed="81"/>
            <rFont val="Tahoma"/>
            <family val="2"/>
          </rPr>
          <t xml:space="preserve">Select the county in which the field is located. </t>
        </r>
      </text>
    </comment>
    <comment ref="F7" authorId="0" shapeId="0">
      <text>
        <r>
          <rPr>
            <b/>
            <sz val="10"/>
            <color indexed="81"/>
            <rFont val="Tahoma"/>
            <family val="2"/>
          </rPr>
          <t xml:space="preserve">cell F7      Use Drop-Down-List
</t>
        </r>
        <r>
          <rPr>
            <sz val="10"/>
            <color indexed="81"/>
            <rFont val="Tahoma"/>
            <family val="2"/>
          </rPr>
          <t xml:space="preserve">Select the correct Field ID. </t>
        </r>
      </text>
    </comment>
    <comment ref="I7" authorId="0" shapeId="0">
      <text>
        <r>
          <rPr>
            <b/>
            <sz val="10"/>
            <color indexed="81"/>
            <rFont val="Tahoma"/>
            <family val="2"/>
          </rPr>
          <t>cell I7
Value from soil test</t>
        </r>
      </text>
    </comment>
    <comment ref="K7" authorId="0" shapeId="0">
      <text>
        <r>
          <rPr>
            <b/>
            <sz val="10"/>
            <color indexed="81"/>
            <rFont val="Tahoma"/>
            <family val="2"/>
          </rPr>
          <t>cell K7</t>
        </r>
        <r>
          <rPr>
            <sz val="10"/>
            <color indexed="81"/>
            <rFont val="Tahoma"/>
            <family val="2"/>
          </rPr>
          <t xml:space="preserve">
Enter the year prior to the first year of the plan.</t>
        </r>
      </text>
    </comment>
    <comment ref="L7" authorId="0" shapeId="0">
      <text>
        <r>
          <rPr>
            <b/>
            <sz val="10"/>
            <color indexed="81"/>
            <rFont val="Tahoma"/>
            <family val="2"/>
          </rPr>
          <t>cell L7      Use Drop-Down-List</t>
        </r>
        <r>
          <rPr>
            <sz val="10"/>
            <color indexed="81"/>
            <rFont val="Tahoma"/>
            <family val="2"/>
          </rPr>
          <t xml:space="preserve">
Select the crop that was grown on this field in the previous year.
</t>
        </r>
      </text>
    </comment>
    <comment ref="I8" authorId="0" shapeId="0">
      <text>
        <r>
          <rPr>
            <b/>
            <sz val="10"/>
            <color indexed="81"/>
            <rFont val="Tahoma"/>
            <family val="2"/>
          </rPr>
          <t>cell I8
Value from soil test</t>
        </r>
        <r>
          <rPr>
            <sz val="10"/>
            <color indexed="81"/>
            <rFont val="Tahoma"/>
            <family val="2"/>
          </rPr>
          <t xml:space="preserve">
</t>
        </r>
      </text>
    </comment>
    <comment ref="L8" authorId="0" shapeId="0">
      <text>
        <r>
          <rPr>
            <b/>
            <sz val="10"/>
            <color indexed="81"/>
            <rFont val="Tahoma"/>
            <family val="2"/>
          </rPr>
          <t>cell L8      Use Drop-Down-List</t>
        </r>
        <r>
          <rPr>
            <sz val="10"/>
            <color indexed="81"/>
            <rFont val="Tahoma"/>
            <family val="2"/>
          </rPr>
          <t xml:space="preserve">
Select the crop intended to be grown during the initial year of the plan shown to the left.</t>
        </r>
      </text>
    </comment>
    <comment ref="M8" authorId="0" shapeId="0">
      <text>
        <r>
          <rPr>
            <b/>
            <sz val="10"/>
            <color indexed="81"/>
            <rFont val="Tahoma"/>
            <family val="2"/>
          </rPr>
          <t>cell M8</t>
        </r>
        <r>
          <rPr>
            <sz val="10"/>
            <color indexed="81"/>
            <rFont val="Tahoma"/>
            <family val="2"/>
          </rPr>
          <t xml:space="preserve">
Enter the yield goal for the intended crop shown to the left.</t>
        </r>
      </text>
    </comment>
    <comment ref="N8" authorId="0" shapeId="0">
      <text>
        <r>
          <rPr>
            <b/>
            <sz val="10"/>
            <color indexed="81"/>
            <rFont val="Tahoma"/>
            <family val="2"/>
          </rPr>
          <t xml:space="preserve">cell N8
</t>
        </r>
        <r>
          <rPr>
            <sz val="10"/>
            <color indexed="81"/>
            <rFont val="Tahoma"/>
            <family val="2"/>
          </rPr>
          <t>Using 100% will show maximum quantity of manure that can be applied to this field.
By decreasing the amount to less than 100%, you can match it with the quantity of manure you have available to spread.</t>
        </r>
      </text>
    </comment>
    <comment ref="E9" authorId="0" shapeId="0">
      <text>
        <r>
          <rPr>
            <b/>
            <sz val="10"/>
            <color indexed="81"/>
            <rFont val="Tahoma"/>
            <family val="2"/>
          </rPr>
          <t xml:space="preserve">cell E9    Use Drop-Down-List
Select the appropriate Category for this field
Cat 1:   
</t>
        </r>
        <r>
          <rPr>
            <sz val="10"/>
            <color indexed="81"/>
            <rFont val="Tahoma"/>
            <family val="2"/>
          </rPr>
          <t>Less than 22" annual rainfall  &amp;
less than 5% field slope</t>
        </r>
        <r>
          <rPr>
            <b/>
            <sz val="10"/>
            <color indexed="81"/>
            <rFont val="Tahoma"/>
            <family val="2"/>
          </rPr>
          <t xml:space="preserve">
Cat 2:
</t>
        </r>
        <r>
          <rPr>
            <sz val="10"/>
            <color indexed="81"/>
            <rFont val="Tahoma"/>
            <family val="2"/>
          </rPr>
          <t>Less than 22" annual rainfall  &amp;
greater than 5% field slope (any part of the field)
or
22" - 30" annual rainfall  &amp; 
less than 5% field slope</t>
        </r>
        <r>
          <rPr>
            <b/>
            <sz val="10"/>
            <color indexed="81"/>
            <rFont val="Tahoma"/>
            <family val="2"/>
          </rPr>
          <t xml:space="preserve">
Cat 3:
</t>
        </r>
        <r>
          <rPr>
            <sz val="10"/>
            <color indexed="81"/>
            <rFont val="Tahoma"/>
            <family val="2"/>
          </rPr>
          <t>22" - 30" annual rainfall &amp;
greater than 5% field slope (any part of the field)
or
Over 30"  annual rainfall</t>
        </r>
        <r>
          <rPr>
            <b/>
            <sz val="10"/>
            <color indexed="81"/>
            <rFont val="Tahoma"/>
            <family val="2"/>
          </rPr>
          <t xml:space="preserve">
</t>
        </r>
      </text>
    </comment>
    <comment ref="I9" authorId="0" shapeId="0">
      <text>
        <r>
          <rPr>
            <b/>
            <sz val="10"/>
            <color indexed="81"/>
            <rFont val="Tahoma"/>
            <family val="2"/>
          </rPr>
          <t>cell I9
Value from soil test</t>
        </r>
      </text>
    </comment>
    <comment ref="L9" authorId="0" shapeId="0">
      <text>
        <r>
          <rPr>
            <b/>
            <sz val="10"/>
            <color indexed="81"/>
            <rFont val="Tahoma"/>
            <family val="2"/>
          </rPr>
          <t>cell L9      Use Drop-Down-List</t>
        </r>
        <r>
          <rPr>
            <sz val="10"/>
            <color indexed="81"/>
            <rFont val="Tahoma"/>
            <family val="2"/>
          </rPr>
          <t xml:space="preserve">
Select the crop intended to be grown during the crop year shown to the left.</t>
        </r>
      </text>
    </comment>
    <comment ref="M9" authorId="0" shapeId="0">
      <text>
        <r>
          <rPr>
            <b/>
            <sz val="10"/>
            <color indexed="81"/>
            <rFont val="Tahoma"/>
            <family val="2"/>
          </rPr>
          <t xml:space="preserve">cell M9
</t>
        </r>
        <r>
          <rPr>
            <sz val="10"/>
            <color indexed="81"/>
            <rFont val="Tahoma"/>
            <family val="2"/>
          </rPr>
          <t>Enter the yield goal for the intended crop shown to the left.</t>
        </r>
      </text>
    </comment>
    <comment ref="N9" authorId="0" shapeId="0">
      <text>
        <r>
          <rPr>
            <b/>
            <sz val="10"/>
            <color indexed="81"/>
            <rFont val="Tahoma"/>
            <family val="2"/>
          </rPr>
          <t xml:space="preserve">cell N9
</t>
        </r>
        <r>
          <rPr>
            <sz val="10"/>
            <color indexed="81"/>
            <rFont val="Tahoma"/>
            <family val="2"/>
          </rPr>
          <t>Using 100% will show maximum quantity of manure that can be applied to this field.
By decreasing the amount to less than 100%, you can match it with the quantity of manure you have available to spread.</t>
        </r>
      </text>
    </comment>
    <comment ref="L10" authorId="0" shapeId="0">
      <text>
        <r>
          <rPr>
            <b/>
            <sz val="10"/>
            <color indexed="81"/>
            <rFont val="Tahoma"/>
            <family val="2"/>
          </rPr>
          <t xml:space="preserve">cell L10      Use Drop-Down-List
</t>
        </r>
        <r>
          <rPr>
            <sz val="10"/>
            <color indexed="81"/>
            <rFont val="Tahoma"/>
            <family val="2"/>
          </rPr>
          <t>Select the crop intended to be grown during the crop year shown to the left.</t>
        </r>
      </text>
    </comment>
    <comment ref="M10" authorId="0" shapeId="0">
      <text>
        <r>
          <rPr>
            <b/>
            <sz val="10"/>
            <color indexed="81"/>
            <rFont val="Tahoma"/>
            <family val="2"/>
          </rPr>
          <t xml:space="preserve">cell M10
</t>
        </r>
        <r>
          <rPr>
            <sz val="10"/>
            <color indexed="81"/>
            <rFont val="Tahoma"/>
            <family val="2"/>
          </rPr>
          <t>Enter the yield goal for the intended crop shown to the left.</t>
        </r>
      </text>
    </comment>
    <comment ref="N10" authorId="0" shapeId="0">
      <text>
        <r>
          <rPr>
            <b/>
            <sz val="10"/>
            <color indexed="81"/>
            <rFont val="Tahoma"/>
            <family val="2"/>
          </rPr>
          <t xml:space="preserve">cell N10
</t>
        </r>
        <r>
          <rPr>
            <sz val="10"/>
            <color indexed="81"/>
            <rFont val="Tahoma"/>
            <family val="2"/>
          </rPr>
          <t>Using 100% will show maximum quantity of manure that can be applied to this field.
By decreasing the amount to less than 100%, you can match it with the quantity of manure you have available to spread.</t>
        </r>
      </text>
    </comment>
    <comment ref="I11" authorId="0" shapeId="0">
      <text>
        <r>
          <rPr>
            <b/>
            <sz val="10"/>
            <color indexed="81"/>
            <rFont val="Tahoma"/>
            <family val="2"/>
          </rPr>
          <t>cell I11
Value from soil test</t>
        </r>
      </text>
    </comment>
    <comment ref="L11" authorId="0" shapeId="0">
      <text>
        <r>
          <rPr>
            <b/>
            <sz val="10"/>
            <color indexed="81"/>
            <rFont val="Tahoma"/>
            <family val="2"/>
          </rPr>
          <t xml:space="preserve">cell L11      Use Drop-Down-List
</t>
        </r>
        <r>
          <rPr>
            <sz val="10"/>
            <color indexed="81"/>
            <rFont val="Tahoma"/>
            <family val="2"/>
          </rPr>
          <t>Select the crop intended to be grown during the crop year shown to the left.</t>
        </r>
      </text>
    </comment>
    <comment ref="M11" authorId="0" shapeId="0">
      <text>
        <r>
          <rPr>
            <b/>
            <sz val="10"/>
            <color indexed="81"/>
            <rFont val="Tahoma"/>
            <family val="2"/>
          </rPr>
          <t xml:space="preserve">cell M11
</t>
        </r>
        <r>
          <rPr>
            <sz val="10"/>
            <color indexed="81"/>
            <rFont val="Tahoma"/>
            <family val="2"/>
          </rPr>
          <t>Enter the yield goal for the intended crop shown to the left.</t>
        </r>
      </text>
    </comment>
    <comment ref="N11" authorId="0" shapeId="0">
      <text>
        <r>
          <rPr>
            <b/>
            <sz val="10"/>
            <color indexed="81"/>
            <rFont val="Tahoma"/>
            <family val="2"/>
          </rPr>
          <t xml:space="preserve">cell N11
</t>
        </r>
        <r>
          <rPr>
            <sz val="10"/>
            <color indexed="81"/>
            <rFont val="Tahoma"/>
            <family val="2"/>
          </rPr>
          <t>Using 100% will show maximum quantity of manure that can be applied to this field.
By decreasing the amount to less than 100%, you can match it with the quantity of manure you have available to spread.</t>
        </r>
      </text>
    </comment>
    <comment ref="L12" authorId="0" shapeId="0">
      <text>
        <r>
          <rPr>
            <b/>
            <sz val="10"/>
            <color indexed="81"/>
            <rFont val="Tahoma"/>
            <family val="2"/>
          </rPr>
          <t xml:space="preserve">cell L12      Use Drop-Down-List
</t>
        </r>
        <r>
          <rPr>
            <sz val="10"/>
            <color indexed="81"/>
            <rFont val="Tahoma"/>
            <family val="2"/>
          </rPr>
          <t>Select the crop intended to be grown during the crop year shown to the left.</t>
        </r>
      </text>
    </comment>
    <comment ref="M12" authorId="0" shapeId="0">
      <text>
        <r>
          <rPr>
            <b/>
            <sz val="10"/>
            <color indexed="81"/>
            <rFont val="Tahoma"/>
            <family val="2"/>
          </rPr>
          <t>cell M12</t>
        </r>
        <r>
          <rPr>
            <sz val="10"/>
            <color indexed="81"/>
            <rFont val="Tahoma"/>
            <family val="2"/>
          </rPr>
          <t xml:space="preserve">
Enter the yield goal for the intended crop shown to the left.</t>
        </r>
      </text>
    </comment>
    <comment ref="N12" authorId="0" shapeId="0">
      <text>
        <r>
          <rPr>
            <b/>
            <sz val="10"/>
            <color indexed="81"/>
            <rFont val="Tahoma"/>
            <family val="2"/>
          </rPr>
          <t xml:space="preserve">cell N12
</t>
        </r>
        <r>
          <rPr>
            <sz val="10"/>
            <color indexed="81"/>
            <rFont val="Tahoma"/>
            <family val="2"/>
          </rPr>
          <t>Using 100% will show maximum quantity of manure that can be applied to this field.
By decreasing the amount to less than 100%, you can match it with the quantity of manure you have available to spread.</t>
        </r>
      </text>
    </comment>
    <comment ref="D14" authorId="0" shapeId="0">
      <text>
        <r>
          <rPr>
            <b/>
            <sz val="10"/>
            <color indexed="81"/>
            <rFont val="Tahoma"/>
            <family val="2"/>
          </rPr>
          <t>cell D14</t>
        </r>
        <r>
          <rPr>
            <sz val="10"/>
            <color indexed="81"/>
            <rFont val="Tahoma"/>
            <family val="2"/>
          </rPr>
          <t xml:space="preserve">
Enter the KDHE Permit Number issued to the facility</t>
        </r>
      </text>
    </comment>
    <comment ref="F14" authorId="0" shapeId="0">
      <text>
        <r>
          <rPr>
            <b/>
            <sz val="10"/>
            <color indexed="81"/>
            <rFont val="Tahoma"/>
            <family val="2"/>
          </rPr>
          <t xml:space="preserve">cell F14
</t>
        </r>
        <r>
          <rPr>
            <sz val="10"/>
            <color indexed="81"/>
            <rFont val="Tahoma"/>
            <family val="2"/>
          </rPr>
          <t xml:space="preserve">Total volume of swine waste available for annual application from the facility.
</t>
        </r>
        <r>
          <rPr>
            <b/>
            <sz val="10"/>
            <color indexed="81"/>
            <rFont val="Tahoma"/>
            <family val="2"/>
          </rPr>
          <t>*NOT THE VOLUME AVAILABLE FOR EACH FIELD.</t>
        </r>
        <r>
          <rPr>
            <sz val="10"/>
            <color indexed="81"/>
            <rFont val="Tahoma"/>
            <family val="2"/>
          </rPr>
          <t xml:space="preserve">
</t>
        </r>
      </text>
    </comment>
    <comment ref="I14" authorId="0" shapeId="0">
      <text>
        <r>
          <rPr>
            <b/>
            <sz val="10"/>
            <color indexed="81"/>
            <rFont val="Tahoma"/>
            <family val="2"/>
          </rPr>
          <t>cell I14
Value from soil test</t>
        </r>
      </text>
    </comment>
    <comment ref="B16" authorId="0" shapeId="0">
      <text>
        <r>
          <rPr>
            <b/>
            <sz val="10"/>
            <color indexed="81"/>
            <rFont val="Tahoma"/>
            <family val="2"/>
          </rPr>
          <t xml:space="preserve">cell B16    Use Drop-Down-List
</t>
        </r>
        <r>
          <rPr>
            <sz val="10"/>
            <color indexed="81"/>
            <rFont val="Tahoma"/>
            <family val="2"/>
          </rPr>
          <t>Select the methd of manure application for this field.</t>
        </r>
      </text>
    </comment>
    <comment ref="M18" authorId="0" shapeId="0">
      <text>
        <r>
          <rPr>
            <b/>
            <sz val="10"/>
            <color indexed="81"/>
            <rFont val="Tahoma"/>
            <family val="2"/>
          </rPr>
          <t xml:space="preserve">cell M18
</t>
        </r>
        <r>
          <rPr>
            <sz val="10"/>
            <color indexed="81"/>
            <rFont val="Tahoma"/>
            <family val="2"/>
          </rPr>
          <t>Enter the NO</t>
        </r>
        <r>
          <rPr>
            <sz val="8"/>
            <color indexed="81"/>
            <rFont val="Tahoma"/>
            <family val="2"/>
          </rPr>
          <t>3</t>
        </r>
        <r>
          <rPr>
            <sz val="10"/>
            <color indexed="81"/>
            <rFont val="Tahoma"/>
            <family val="2"/>
          </rPr>
          <t>-N value as reported on the soil analysis for the 0 - 6 inch depth (the 0 - 24 inch depth).</t>
        </r>
      </text>
    </comment>
    <comment ref="N18" authorId="0" shapeId="0">
      <text>
        <r>
          <rPr>
            <b/>
            <sz val="10"/>
            <color indexed="81"/>
            <rFont val="Tahoma"/>
            <family val="2"/>
          </rPr>
          <t xml:space="preserve">cell N18
</t>
        </r>
        <r>
          <rPr>
            <sz val="10"/>
            <color indexed="81"/>
            <rFont val="Tahoma"/>
            <family val="2"/>
          </rPr>
          <t>Enter the P value (ppm) from the soil analysis (0-6 inch depth).
If the Bray-1 method is used, use the P value listed as "</t>
        </r>
        <r>
          <rPr>
            <b/>
            <sz val="10"/>
            <color indexed="81"/>
            <rFont val="Tahoma"/>
            <family val="2"/>
          </rPr>
          <t>Weak Bray</t>
        </r>
        <r>
          <rPr>
            <sz val="10"/>
            <color indexed="81"/>
            <rFont val="Tahoma"/>
            <family val="2"/>
          </rPr>
          <t>".</t>
        </r>
      </text>
    </comment>
    <comment ref="I19" authorId="0" shapeId="0">
      <text>
        <r>
          <rPr>
            <b/>
            <sz val="10"/>
            <color indexed="81"/>
            <rFont val="Tahoma"/>
            <family val="2"/>
          </rPr>
          <t xml:space="preserve">cell I19
</t>
        </r>
        <r>
          <rPr>
            <sz val="10"/>
            <color indexed="81"/>
            <rFont val="Tahoma"/>
            <family val="2"/>
          </rPr>
          <t>Place an "x" in this cell if the predominant soil type of this field is sandy.</t>
        </r>
      </text>
    </comment>
    <comment ref="K19" authorId="0" shapeId="0">
      <text>
        <r>
          <rPr>
            <b/>
            <sz val="10"/>
            <color indexed="81"/>
            <rFont val="Tahoma"/>
            <family val="2"/>
          </rPr>
          <t>KDA: CELL: K19</t>
        </r>
        <r>
          <rPr>
            <sz val="10"/>
            <color indexed="81"/>
            <rFont val="Tahoma"/>
            <family val="2"/>
          </rPr>
          <t xml:space="preserve">
Place an "x" in this cell if the </t>
        </r>
        <r>
          <rPr>
            <b/>
            <sz val="10"/>
            <color indexed="81"/>
            <rFont val="Tahoma"/>
            <family val="2"/>
          </rPr>
          <t>Bray-1</t>
        </r>
        <r>
          <rPr>
            <sz val="10"/>
            <color indexed="81"/>
            <rFont val="Tahoma"/>
            <family val="2"/>
          </rPr>
          <t xml:space="preserve"> method was used to determine the Phosphorus value.</t>
        </r>
        <r>
          <rPr>
            <sz val="8"/>
            <color indexed="81"/>
            <rFont val="Tahoma"/>
            <family val="2"/>
          </rPr>
          <t xml:space="preserve">
</t>
        </r>
      </text>
    </comment>
    <comment ref="M19" authorId="0" shapeId="0">
      <text>
        <r>
          <rPr>
            <b/>
            <sz val="10"/>
            <color indexed="81"/>
            <rFont val="Tahoma"/>
            <family val="2"/>
          </rPr>
          <t xml:space="preserve">cell M19
</t>
        </r>
        <r>
          <rPr>
            <sz val="10"/>
            <color indexed="81"/>
            <rFont val="Tahoma"/>
            <family val="2"/>
          </rPr>
          <t>Enter the NO</t>
        </r>
        <r>
          <rPr>
            <vertAlign val="subscript"/>
            <sz val="10"/>
            <color indexed="81"/>
            <rFont val="Tahoma"/>
            <family val="2"/>
          </rPr>
          <t>3</t>
        </r>
        <r>
          <rPr>
            <sz val="10"/>
            <color indexed="81"/>
            <rFont val="Tahoma"/>
            <family val="2"/>
          </rPr>
          <t>-N value as reported on the soil analysis for the 6 - 24 inch depth (the 0 - 24 inch depth).</t>
        </r>
      </text>
    </comment>
    <comment ref="E20" authorId="1" shapeId="0">
      <text>
        <r>
          <rPr>
            <b/>
            <sz val="8"/>
            <color indexed="81"/>
            <rFont val="Tahoma"/>
            <family val="2"/>
          </rPr>
          <t>Cells E21 &amp; 22
lbs N per 1000 gallons or lbs N per ton.</t>
        </r>
      </text>
    </comment>
    <comment ref="I20" authorId="0" shapeId="0">
      <text>
        <r>
          <rPr>
            <b/>
            <sz val="10"/>
            <color indexed="81"/>
            <rFont val="Tahoma"/>
            <family val="2"/>
          </rPr>
          <t>cell I20</t>
        </r>
        <r>
          <rPr>
            <sz val="10"/>
            <color indexed="81"/>
            <rFont val="Tahoma"/>
            <family val="2"/>
          </rPr>
          <t xml:space="preserve">
Place an "x" in this cell if the predominant soil type of this field is med &amp; fine textured.</t>
        </r>
      </text>
    </comment>
    <comment ref="K20" authorId="0" shapeId="0">
      <text>
        <r>
          <rPr>
            <b/>
            <sz val="10"/>
            <color indexed="81"/>
            <rFont val="Tahoma"/>
            <family val="2"/>
          </rPr>
          <t>KDA: CELL: K20</t>
        </r>
        <r>
          <rPr>
            <sz val="10"/>
            <color indexed="81"/>
            <rFont val="Tahoma"/>
            <family val="2"/>
          </rPr>
          <t xml:space="preserve">
Place an "x" in this cell if the </t>
        </r>
        <r>
          <rPr>
            <b/>
            <sz val="10"/>
            <color indexed="81"/>
            <rFont val="Tahoma"/>
            <family val="2"/>
          </rPr>
          <t>Mehlich-3</t>
        </r>
        <r>
          <rPr>
            <sz val="10"/>
            <color indexed="81"/>
            <rFont val="Tahoma"/>
            <family val="2"/>
          </rPr>
          <t xml:space="preserve"> method was used to determine the Phosphorus value.</t>
        </r>
        <r>
          <rPr>
            <sz val="8"/>
            <color indexed="81"/>
            <rFont val="Tahoma"/>
            <family val="2"/>
          </rPr>
          <t xml:space="preserve">
</t>
        </r>
      </text>
    </comment>
    <comment ref="M20" authorId="0" shapeId="0">
      <text>
        <r>
          <rPr>
            <b/>
            <sz val="10"/>
            <color indexed="81"/>
            <rFont val="Tahoma"/>
            <family val="2"/>
          </rPr>
          <t>cell M20</t>
        </r>
        <r>
          <rPr>
            <sz val="10"/>
            <color indexed="81"/>
            <rFont val="Tahoma"/>
            <family val="2"/>
          </rPr>
          <t xml:space="preserve">
Enter the NO</t>
        </r>
        <r>
          <rPr>
            <vertAlign val="subscript"/>
            <sz val="10"/>
            <color indexed="81"/>
            <rFont val="Tahoma"/>
            <family val="2"/>
          </rPr>
          <t>3</t>
        </r>
        <r>
          <rPr>
            <sz val="10"/>
            <color indexed="81"/>
            <rFont val="Tahoma"/>
            <family val="2"/>
          </rPr>
          <t>-N value as reported on the soil analysis for the 6 - 24 inch depth (the 0 - 24 inch depth).</t>
        </r>
      </text>
    </comment>
    <comment ref="C21" authorId="0" shapeId="0">
      <text>
        <r>
          <rPr>
            <b/>
            <sz val="10"/>
            <color indexed="81"/>
            <rFont val="Tahoma"/>
            <family val="2"/>
          </rPr>
          <t xml:space="preserve">cell C21
</t>
        </r>
        <r>
          <rPr>
            <sz val="10"/>
            <color indexed="81"/>
            <rFont val="Tahoma"/>
            <family val="2"/>
          </rPr>
          <t>Organic-N Value (ppm) 
of the manure applied</t>
        </r>
      </text>
    </comment>
    <comment ref="D21" authorId="0" shapeId="0">
      <text>
        <r>
          <rPr>
            <b/>
            <sz val="10"/>
            <color indexed="81"/>
            <rFont val="Tahoma"/>
            <family val="2"/>
          </rPr>
          <t xml:space="preserve">cell D21
</t>
        </r>
        <r>
          <rPr>
            <sz val="10"/>
            <color indexed="81"/>
            <rFont val="Tahoma"/>
            <family val="2"/>
          </rPr>
          <t>Enter the total number of gallons or tons applied to the field during the year listed.</t>
        </r>
      </text>
    </comment>
    <comment ref="K21" authorId="0" shapeId="0">
      <text>
        <r>
          <rPr>
            <b/>
            <sz val="10"/>
            <color indexed="81"/>
            <rFont val="Tahoma"/>
            <family val="2"/>
          </rPr>
          <t>KDA: CELL: K21</t>
        </r>
        <r>
          <rPr>
            <sz val="10"/>
            <color indexed="81"/>
            <rFont val="Tahoma"/>
            <family val="2"/>
          </rPr>
          <t xml:space="preserve">
Place an "x" in this cell if the </t>
        </r>
        <r>
          <rPr>
            <b/>
            <sz val="10"/>
            <color indexed="81"/>
            <rFont val="Tahoma"/>
            <family val="2"/>
          </rPr>
          <t>"Olsen"</t>
        </r>
        <r>
          <rPr>
            <sz val="10"/>
            <color indexed="81"/>
            <rFont val="Tahoma"/>
            <family val="2"/>
          </rPr>
          <t xml:space="preserve"> method was used to determine the Phosphorus value.</t>
        </r>
        <r>
          <rPr>
            <sz val="8"/>
            <color indexed="81"/>
            <rFont val="Tahoma"/>
            <family val="2"/>
          </rPr>
          <t xml:space="preserve">
</t>
        </r>
      </text>
    </comment>
    <comment ref="M21" authorId="0" shapeId="0">
      <text>
        <r>
          <rPr>
            <b/>
            <sz val="10"/>
            <color indexed="81"/>
            <rFont val="Tahoma"/>
            <family val="2"/>
          </rPr>
          <t xml:space="preserve">cell M21
</t>
        </r>
        <r>
          <rPr>
            <sz val="10"/>
            <color indexed="81"/>
            <rFont val="Tahoma"/>
            <family val="2"/>
          </rPr>
          <t>Enter the NO3-N value as reported on the soil analysis for the 6 - 24 inch depth (the 0 - 24 inch depth).</t>
        </r>
      </text>
    </comment>
    <comment ref="C22" authorId="0" shapeId="0">
      <text>
        <r>
          <rPr>
            <b/>
            <sz val="10"/>
            <color indexed="81"/>
            <rFont val="Tahoma"/>
            <family val="2"/>
          </rPr>
          <t xml:space="preserve">cell C22
</t>
        </r>
        <r>
          <rPr>
            <sz val="10"/>
            <color indexed="81"/>
            <rFont val="Tahoma"/>
            <family val="2"/>
          </rPr>
          <t>Organic-N Value (ppm) 
of the manure applied</t>
        </r>
      </text>
    </comment>
    <comment ref="D22" authorId="0" shapeId="0">
      <text>
        <r>
          <rPr>
            <b/>
            <sz val="10"/>
            <color indexed="81"/>
            <rFont val="Tahoma"/>
            <family val="2"/>
          </rPr>
          <t>cell D22</t>
        </r>
        <r>
          <rPr>
            <sz val="10"/>
            <color indexed="81"/>
            <rFont val="Tahoma"/>
            <family val="2"/>
          </rPr>
          <t xml:space="preserve">
Enter the total number of gallons or tons applied to the field during the year listed.</t>
        </r>
      </text>
    </comment>
    <comment ref="F25" authorId="0" shapeId="0">
      <text>
        <r>
          <rPr>
            <b/>
            <sz val="10"/>
            <color indexed="81"/>
            <rFont val="Tahoma"/>
            <family val="2"/>
          </rPr>
          <t xml:space="preserve">cell F25    Use Drop-Down-List
</t>
        </r>
        <r>
          <rPr>
            <sz val="10"/>
            <color indexed="81"/>
            <rFont val="Tahoma"/>
            <family val="2"/>
          </rPr>
          <t>Select "</t>
        </r>
        <r>
          <rPr>
            <b/>
            <sz val="10"/>
            <color indexed="81"/>
            <rFont val="Tahoma"/>
            <family val="2"/>
          </rPr>
          <t>Liquid</t>
        </r>
        <r>
          <rPr>
            <sz val="10"/>
            <color indexed="81"/>
            <rFont val="Tahoma"/>
            <family val="2"/>
          </rPr>
          <t>" if spreading liquid or slurry waste.
Select "</t>
        </r>
        <r>
          <rPr>
            <b/>
            <sz val="10"/>
            <color indexed="81"/>
            <rFont val="Tahoma"/>
            <family val="2"/>
          </rPr>
          <t>Solid</t>
        </r>
        <r>
          <rPr>
            <sz val="10"/>
            <color indexed="81"/>
            <rFont val="Tahoma"/>
            <family val="2"/>
          </rPr>
          <t xml:space="preserve">" if spreading soild waste or compost. </t>
        </r>
      </text>
    </comment>
    <comment ref="N25" authorId="0" shapeId="0">
      <text>
        <r>
          <rPr>
            <b/>
            <sz val="10"/>
            <color indexed="81"/>
            <rFont val="Tahoma"/>
            <family val="2"/>
          </rPr>
          <t xml:space="preserve">cell N25
</t>
        </r>
        <r>
          <rPr>
            <sz val="10"/>
            <color indexed="81"/>
            <rFont val="Tahoma"/>
            <family val="2"/>
          </rPr>
          <t>If the waste is solid without bedding and is incorporated into the soil within 24 hours, place an "x" in this cell.</t>
        </r>
        <r>
          <rPr>
            <sz val="8"/>
            <color indexed="81"/>
            <rFont val="Tahoma"/>
            <family val="2"/>
          </rPr>
          <t xml:space="preserve">
</t>
        </r>
      </text>
    </comment>
    <comment ref="C26" authorId="0" shapeId="0">
      <text>
        <r>
          <rPr>
            <b/>
            <sz val="10"/>
            <color indexed="81"/>
            <rFont val="Tahoma"/>
            <family val="2"/>
          </rPr>
          <t>mg/l = ppm = mg/kg  =  % value x 10,000</t>
        </r>
        <r>
          <rPr>
            <sz val="10"/>
            <color indexed="81"/>
            <rFont val="Tahoma"/>
            <family val="2"/>
          </rPr>
          <t xml:space="preserve"> as reported on the manure analysis report</t>
        </r>
      </text>
    </comment>
    <comment ref="N26" authorId="0" shapeId="0">
      <text>
        <r>
          <rPr>
            <b/>
            <sz val="10"/>
            <color indexed="81"/>
            <rFont val="Tahoma"/>
            <family val="2"/>
          </rPr>
          <t>cell N26</t>
        </r>
        <r>
          <rPr>
            <sz val="10"/>
            <color indexed="81"/>
            <rFont val="Tahoma"/>
            <family val="2"/>
          </rPr>
          <t xml:space="preserve">
If the waste is solid without bedding and is surface applied without being incorporated into the soil within 24 hours, place an "x" in this cell.</t>
        </r>
        <r>
          <rPr>
            <sz val="8"/>
            <color indexed="81"/>
            <rFont val="Tahoma"/>
            <family val="2"/>
          </rPr>
          <t xml:space="preserve">
</t>
        </r>
      </text>
    </comment>
    <comment ref="C27" authorId="0" shapeId="0">
      <text>
        <r>
          <rPr>
            <b/>
            <sz val="10"/>
            <color indexed="81"/>
            <rFont val="Tahoma"/>
            <family val="2"/>
          </rPr>
          <t xml:space="preserve">cell C27
</t>
        </r>
        <r>
          <rPr>
            <sz val="10"/>
            <color indexed="81"/>
            <rFont val="Tahoma"/>
            <family val="2"/>
          </rPr>
          <t xml:space="preserve">As reported on the manure analysis report.
</t>
        </r>
        <r>
          <rPr>
            <b/>
            <sz val="10"/>
            <color indexed="81"/>
            <rFont val="Tahoma"/>
            <family val="2"/>
          </rPr>
          <t>Total N = Organic-N + NH4-N + NO3-N</t>
        </r>
        <r>
          <rPr>
            <sz val="10"/>
            <color indexed="81"/>
            <rFont val="Tahoma"/>
            <family val="2"/>
          </rPr>
          <t xml:space="preserve">
</t>
        </r>
      </text>
    </comment>
    <comment ref="N27" authorId="0" shapeId="0">
      <text>
        <r>
          <rPr>
            <b/>
            <sz val="10"/>
            <color indexed="81"/>
            <rFont val="Tahoma"/>
            <family val="2"/>
          </rPr>
          <t>cell N27</t>
        </r>
        <r>
          <rPr>
            <sz val="10"/>
            <color indexed="81"/>
            <rFont val="Tahoma"/>
            <family val="2"/>
          </rPr>
          <t xml:space="preserve">
If the waste is solid mixed with bedding and is incorporated into the soil within 24 hours, place an "x" in this cell.</t>
        </r>
        <r>
          <rPr>
            <sz val="8"/>
            <color indexed="81"/>
            <rFont val="Tahoma"/>
            <family val="2"/>
          </rPr>
          <t xml:space="preserve">
</t>
        </r>
      </text>
    </comment>
    <comment ref="C28" authorId="0" shapeId="0">
      <text>
        <r>
          <rPr>
            <b/>
            <sz val="10"/>
            <color indexed="81"/>
            <rFont val="Tahoma"/>
            <family val="2"/>
          </rPr>
          <t>cell C28</t>
        </r>
        <r>
          <rPr>
            <sz val="10"/>
            <color indexed="81"/>
            <rFont val="Tahoma"/>
            <family val="2"/>
          </rPr>
          <t xml:space="preserve">
As reported on the manure analysis report.</t>
        </r>
      </text>
    </comment>
    <comment ref="N28" authorId="0" shapeId="0">
      <text>
        <r>
          <rPr>
            <b/>
            <sz val="10"/>
            <color indexed="81"/>
            <rFont val="Tahoma"/>
            <family val="2"/>
          </rPr>
          <t>cell N28</t>
        </r>
        <r>
          <rPr>
            <sz val="10"/>
            <color indexed="81"/>
            <rFont val="Tahoma"/>
            <family val="2"/>
          </rPr>
          <t xml:space="preserve">
If the waste is solid mixed with bedding and is surface applied without being incorporated into the soil within 24 hours, place an "x" in this cell.</t>
        </r>
      </text>
    </comment>
    <comment ref="C29" authorId="0" shapeId="0">
      <text>
        <r>
          <rPr>
            <b/>
            <sz val="10"/>
            <color indexed="81"/>
            <rFont val="Tahoma"/>
            <family val="2"/>
          </rPr>
          <t>cell C29</t>
        </r>
        <r>
          <rPr>
            <sz val="10"/>
            <color indexed="81"/>
            <rFont val="Tahoma"/>
            <family val="2"/>
          </rPr>
          <t xml:space="preserve">
As reported on the manure analysis report.</t>
        </r>
      </text>
    </comment>
    <comment ref="N29" authorId="0" shapeId="0">
      <text>
        <r>
          <rPr>
            <b/>
            <sz val="10"/>
            <color indexed="81"/>
            <rFont val="Tahoma"/>
            <family val="2"/>
          </rPr>
          <t>cell N29</t>
        </r>
        <r>
          <rPr>
            <sz val="10"/>
            <color indexed="81"/>
            <rFont val="Tahoma"/>
            <family val="2"/>
          </rPr>
          <t xml:space="preserve">
If the waste is a liquid or a slurry, is stored in an under floor pit and is incorporated into the soil within 24 hours, place an "x" in this cell.</t>
        </r>
        <r>
          <rPr>
            <sz val="8"/>
            <color indexed="81"/>
            <rFont val="Tahoma"/>
            <family val="2"/>
          </rPr>
          <t xml:space="preserve">
</t>
        </r>
      </text>
    </comment>
    <comment ref="C30" authorId="0" shapeId="0">
      <text>
        <r>
          <rPr>
            <b/>
            <sz val="10"/>
            <color indexed="81"/>
            <rFont val="Tahoma"/>
            <family val="2"/>
          </rPr>
          <t xml:space="preserve">cell C30
</t>
        </r>
        <r>
          <rPr>
            <sz val="10"/>
            <color indexed="81"/>
            <rFont val="Tahoma"/>
            <family val="2"/>
          </rPr>
          <t>As reported on the manure analysis report.</t>
        </r>
        <r>
          <rPr>
            <b/>
            <sz val="10"/>
            <color indexed="81"/>
            <rFont val="Tahoma"/>
            <family val="2"/>
          </rPr>
          <t xml:space="preserve">
If &lt; 1 ppm, then enter a "0".</t>
        </r>
      </text>
    </comment>
    <comment ref="N30" authorId="0" shapeId="0">
      <text>
        <r>
          <rPr>
            <b/>
            <sz val="10"/>
            <color indexed="81"/>
            <rFont val="Tahoma"/>
            <family val="2"/>
          </rPr>
          <t>cell N30</t>
        </r>
        <r>
          <rPr>
            <sz val="10"/>
            <color indexed="81"/>
            <rFont val="Tahoma"/>
            <family val="2"/>
          </rPr>
          <t xml:space="preserve">
If the waste is a liquid or a slurry, is stored in an under floor pit and is surface applied without being incorporated into the soil within 24 hours, place an "x" in this cell.</t>
        </r>
      </text>
    </comment>
    <comment ref="C31" authorId="0" shapeId="0">
      <text>
        <r>
          <rPr>
            <b/>
            <sz val="10"/>
            <color indexed="81"/>
            <rFont val="Tahoma"/>
            <family val="2"/>
          </rPr>
          <t>cell C31</t>
        </r>
        <r>
          <rPr>
            <sz val="10"/>
            <color indexed="81"/>
            <rFont val="Tahoma"/>
            <family val="2"/>
          </rPr>
          <t xml:space="preserve">
As reported on the manure analysis report.
If value is reported as P and not P</t>
        </r>
        <r>
          <rPr>
            <sz val="8"/>
            <color indexed="81"/>
            <rFont val="Tahoma"/>
            <family val="2"/>
          </rPr>
          <t>2</t>
        </r>
        <r>
          <rPr>
            <sz val="10"/>
            <color indexed="81"/>
            <rFont val="Tahoma"/>
            <family val="2"/>
          </rPr>
          <t>O</t>
        </r>
        <r>
          <rPr>
            <sz val="8"/>
            <color indexed="81"/>
            <rFont val="Tahoma"/>
            <family val="2"/>
          </rPr>
          <t>5</t>
        </r>
        <r>
          <rPr>
            <sz val="10"/>
            <color indexed="81"/>
            <rFont val="Tahoma"/>
            <family val="2"/>
          </rPr>
          <t xml:space="preserve">, then </t>
        </r>
        <r>
          <rPr>
            <b/>
            <sz val="10"/>
            <color indexed="81"/>
            <rFont val="Tahoma"/>
            <family val="2"/>
          </rPr>
          <t>P x 2.29 = P</t>
        </r>
        <r>
          <rPr>
            <b/>
            <sz val="8"/>
            <color indexed="81"/>
            <rFont val="Tahoma"/>
            <family val="2"/>
          </rPr>
          <t>2</t>
        </r>
        <r>
          <rPr>
            <b/>
            <sz val="10"/>
            <color indexed="81"/>
            <rFont val="Tahoma"/>
            <family val="2"/>
          </rPr>
          <t>O</t>
        </r>
        <r>
          <rPr>
            <b/>
            <sz val="8"/>
            <color indexed="81"/>
            <rFont val="Tahoma"/>
            <family val="2"/>
          </rPr>
          <t>5</t>
        </r>
        <r>
          <rPr>
            <sz val="10"/>
            <color indexed="81"/>
            <rFont val="Tahoma"/>
            <family val="2"/>
          </rPr>
          <t>.</t>
        </r>
      </text>
    </comment>
    <comment ref="N31" authorId="0" shapeId="0">
      <text>
        <r>
          <rPr>
            <b/>
            <sz val="10"/>
            <color indexed="81"/>
            <rFont val="Tahoma"/>
            <family val="2"/>
          </rPr>
          <t>cell N31</t>
        </r>
        <r>
          <rPr>
            <sz val="10"/>
            <color indexed="81"/>
            <rFont val="Tahoma"/>
            <family val="2"/>
          </rPr>
          <t xml:space="preserve">
If the waste is a liquid or a slurry, is stored in a lagoon and is incorporated into the soil within 24 hours, place an "x" in this cell.</t>
        </r>
      </text>
    </comment>
    <comment ref="C32" authorId="0" shapeId="0">
      <text>
        <r>
          <rPr>
            <b/>
            <sz val="10"/>
            <color indexed="81"/>
            <rFont val="Tahoma"/>
            <family val="2"/>
          </rPr>
          <t xml:space="preserve">cell C32
</t>
        </r>
        <r>
          <rPr>
            <sz val="10"/>
            <color indexed="81"/>
            <rFont val="Tahoma"/>
            <family val="2"/>
          </rPr>
          <t>As reported on the manure analysis report.</t>
        </r>
      </text>
    </comment>
    <comment ref="N32" authorId="0" shapeId="0">
      <text>
        <r>
          <rPr>
            <b/>
            <sz val="10"/>
            <color indexed="81"/>
            <rFont val="Tahoma"/>
            <family val="2"/>
          </rPr>
          <t>cell N32</t>
        </r>
        <r>
          <rPr>
            <sz val="10"/>
            <color indexed="81"/>
            <rFont val="Tahoma"/>
            <family val="2"/>
          </rPr>
          <t xml:space="preserve">
If the waste is a liquid or a slurry, is stored in a lagoon and is surface applied without being incorporated into the soil within 24 hours, place an "x" in this cell.</t>
        </r>
        <r>
          <rPr>
            <sz val="8"/>
            <color indexed="81"/>
            <rFont val="Tahoma"/>
            <family val="2"/>
          </rPr>
          <t xml:space="preserve">
</t>
        </r>
      </text>
    </comment>
    <comment ref="C33" authorId="0" shapeId="0">
      <text>
        <r>
          <rPr>
            <b/>
            <sz val="10"/>
            <color indexed="81"/>
            <rFont val="Tahoma"/>
            <family val="2"/>
          </rPr>
          <t xml:space="preserve">cell C33
</t>
        </r>
        <r>
          <rPr>
            <sz val="10"/>
            <color indexed="81"/>
            <rFont val="Tahoma"/>
            <family val="2"/>
          </rPr>
          <t>As reported on the manure analysis report.</t>
        </r>
      </text>
    </comment>
    <comment ref="C34" authorId="0" shapeId="0">
      <text>
        <r>
          <rPr>
            <b/>
            <sz val="10"/>
            <color indexed="81"/>
            <rFont val="Tahoma"/>
            <family val="2"/>
          </rPr>
          <t xml:space="preserve">cell C34
</t>
        </r>
        <r>
          <rPr>
            <sz val="10"/>
            <color indexed="81"/>
            <rFont val="Tahoma"/>
            <family val="2"/>
          </rPr>
          <t>As reported on the manure analysis report.</t>
        </r>
        <r>
          <rPr>
            <sz val="8"/>
            <color indexed="81"/>
            <rFont val="Tahoma"/>
            <family val="2"/>
          </rPr>
          <t xml:space="preserve">
</t>
        </r>
      </text>
    </comment>
    <comment ref="D36" authorId="0" shapeId="0">
      <text>
        <r>
          <rPr>
            <b/>
            <sz val="10"/>
            <color indexed="81"/>
            <rFont val="Tahoma"/>
            <family val="2"/>
          </rPr>
          <t xml:space="preserve">cell D36
Select "Yes" </t>
        </r>
        <r>
          <rPr>
            <sz val="10"/>
            <color indexed="81"/>
            <rFont val="Tahoma"/>
            <family val="2"/>
          </rPr>
          <t>if manure was applied to this field the previous crop year.</t>
        </r>
        <r>
          <rPr>
            <b/>
            <sz val="10"/>
            <color indexed="81"/>
            <rFont val="Tahoma"/>
            <family val="2"/>
          </rPr>
          <t xml:space="preserve">
Select "No" </t>
        </r>
        <r>
          <rPr>
            <sz val="10"/>
            <color indexed="81"/>
            <rFont val="Tahoma"/>
            <family val="2"/>
          </rPr>
          <t>if manure was not applied to this field the previous crop year.</t>
        </r>
        <r>
          <rPr>
            <sz val="8"/>
            <color indexed="81"/>
            <rFont val="Tahoma"/>
            <family val="2"/>
          </rPr>
          <t xml:space="preserve">
   </t>
        </r>
      </text>
    </comment>
    <comment ref="D37" authorId="0" shapeId="0">
      <text>
        <r>
          <rPr>
            <b/>
            <sz val="10"/>
            <color indexed="81"/>
            <rFont val="Tahoma"/>
            <family val="2"/>
          </rPr>
          <t xml:space="preserve">cell D37
Enter "yes" </t>
        </r>
        <r>
          <rPr>
            <sz val="10"/>
            <color indexed="81"/>
            <rFont val="Tahoma"/>
            <family val="2"/>
          </rPr>
          <t xml:space="preserve">if manure was applied to this field two years ago.
</t>
        </r>
        <r>
          <rPr>
            <b/>
            <sz val="10"/>
            <color indexed="81"/>
            <rFont val="Tahoma"/>
            <family val="2"/>
          </rPr>
          <t xml:space="preserve">Enter "no" </t>
        </r>
        <r>
          <rPr>
            <sz val="10"/>
            <color indexed="81"/>
            <rFont val="Tahoma"/>
            <family val="2"/>
          </rPr>
          <t>if manure was not applied to this field two years ago.</t>
        </r>
      </text>
    </comment>
    <comment ref="B38" authorId="0" shapeId="0">
      <text>
        <r>
          <rPr>
            <sz val="10"/>
            <color indexed="81"/>
            <rFont val="Tahoma"/>
            <family val="2"/>
          </rPr>
          <t>Place comments in this area which will help in the approval process for this field.</t>
        </r>
      </text>
    </comment>
  </commentList>
</comments>
</file>

<file path=xl/sharedStrings.xml><?xml version="1.0" encoding="utf-8"?>
<sst xmlns="http://schemas.openxmlformats.org/spreadsheetml/2006/main" count="1085" uniqueCount="610">
  <si>
    <r>
      <t>Testing Method:</t>
    </r>
    <r>
      <rPr>
        <sz val="12"/>
        <rFont val="Arial"/>
      </rPr>
      <t xml:space="preserve">  From the Soil Analysis report you receive from the lab, locate the type of test the lab used for Phosphorus P (ppm).  Enter an "x" in the cell (K19, K20, or K21) by the method used (Bray-1, Mehlich-3 or Olsen).  </t>
    </r>
    <r>
      <rPr>
        <b/>
        <sz val="12"/>
        <rFont val="Arial"/>
        <family val="2"/>
      </rPr>
      <t xml:space="preserve">Note: </t>
    </r>
    <r>
      <rPr>
        <sz val="12"/>
        <rFont val="Arial"/>
      </rPr>
      <t xml:space="preserve"> If more than one cell is checked a RED WARNING will appear.</t>
    </r>
  </si>
  <si>
    <r>
      <t xml:space="preserve">P ppm: </t>
    </r>
    <r>
      <rPr>
        <sz val="12"/>
        <rFont val="Arial"/>
      </rPr>
      <t xml:space="preserve"> From the lab report, locate the value for the 0 - 6 inch P test, and enter it into cell N18.</t>
    </r>
  </si>
  <si>
    <t>Use the drop-down-list to select the manure application method that will be used on this field for cell B16.</t>
  </si>
  <si>
    <t>liquid or solid</t>
  </si>
  <si>
    <t>MANURE ANALYSIS (from your report)</t>
  </si>
  <si>
    <r>
      <t xml:space="preserve">Liquid or Solid: </t>
    </r>
    <r>
      <rPr>
        <sz val="12"/>
        <rFont val="Arial"/>
      </rPr>
      <t xml:space="preserve"> Use the drop-down-list to select either "liquid" or "solid" manure for cell F25.</t>
    </r>
  </si>
  <si>
    <t>Manure Lab Results:</t>
  </si>
  <si>
    <t>Lab Result</t>
  </si>
  <si>
    <r>
      <t>Enter the appropriate values from the lab report for Total-N, Organic-N, NH</t>
    </r>
    <r>
      <rPr>
        <vertAlign val="subscript"/>
        <sz val="12"/>
        <rFont val="Arial"/>
        <family val="2"/>
      </rPr>
      <t>4</t>
    </r>
    <r>
      <rPr>
        <sz val="12"/>
        <rFont val="Arial"/>
      </rPr>
      <t>-N, NO</t>
    </r>
    <r>
      <rPr>
        <vertAlign val="subscript"/>
        <sz val="12"/>
        <rFont val="Arial"/>
        <family val="2"/>
      </rPr>
      <t>3</t>
    </r>
    <r>
      <rPr>
        <sz val="12"/>
        <rFont val="Arial"/>
      </rPr>
      <t>-N, P</t>
    </r>
    <r>
      <rPr>
        <vertAlign val="subscript"/>
        <sz val="12"/>
        <rFont val="Arial"/>
        <family val="2"/>
      </rPr>
      <t>2</t>
    </r>
    <r>
      <rPr>
        <sz val="12"/>
        <rFont val="Arial"/>
      </rPr>
      <t>O</t>
    </r>
    <r>
      <rPr>
        <vertAlign val="subscript"/>
        <sz val="12"/>
        <rFont val="Arial"/>
        <family val="2"/>
      </rPr>
      <t>5</t>
    </r>
    <r>
      <rPr>
        <sz val="12"/>
        <rFont val="Arial"/>
      </rPr>
      <t>, copper (Cu), zinc (Zn), and chloride (Cl) into cell C27 - C34.  If Phosphorus (P) is reported as P rather than P</t>
    </r>
    <r>
      <rPr>
        <vertAlign val="subscript"/>
        <sz val="12"/>
        <rFont val="Arial"/>
        <family val="2"/>
      </rPr>
      <t>2</t>
    </r>
    <r>
      <rPr>
        <sz val="12"/>
        <rFont val="Arial"/>
      </rPr>
      <t>O</t>
    </r>
    <r>
      <rPr>
        <vertAlign val="subscript"/>
        <sz val="12"/>
        <rFont val="Arial"/>
        <family val="2"/>
      </rPr>
      <t>5</t>
    </r>
    <r>
      <rPr>
        <sz val="12"/>
        <rFont val="Arial"/>
      </rPr>
      <t>, multiply P (ppm) by 2.29 to get a value for P</t>
    </r>
    <r>
      <rPr>
        <vertAlign val="subscript"/>
        <sz val="12"/>
        <rFont val="Arial"/>
        <family val="2"/>
      </rPr>
      <t>2</t>
    </r>
    <r>
      <rPr>
        <sz val="12"/>
        <rFont val="Arial"/>
      </rPr>
      <t>O</t>
    </r>
    <r>
      <rPr>
        <vertAlign val="subscript"/>
        <sz val="12"/>
        <rFont val="Arial"/>
        <family val="2"/>
      </rPr>
      <t>5</t>
    </r>
    <r>
      <rPr>
        <sz val="12"/>
        <rFont val="Arial"/>
      </rPr>
      <t>.</t>
    </r>
  </si>
  <si>
    <r>
      <t xml:space="preserve">Last year? </t>
    </r>
    <r>
      <rPr>
        <sz val="12"/>
        <rFont val="Arial"/>
      </rPr>
      <t xml:space="preserve"> Use the drop-down-list to select "yes" or "no" for cell D36.</t>
    </r>
  </si>
  <si>
    <r>
      <t>2 years ago?</t>
    </r>
    <r>
      <rPr>
        <sz val="12"/>
        <rFont val="Arial"/>
      </rPr>
      <t xml:space="preserve">  Use the drop-down-list to select "yes" or "no" for cell D37.</t>
    </r>
  </si>
  <si>
    <t>Enter the estimated tons or gallons of manure to be spread from this facility on an annual basis.  If you have both liquids and solids to spread, complete one set of plans for fields receiving solids and complete another set of plans for fields receiving liquids.</t>
  </si>
  <si>
    <r>
      <t>If soil cores were taken from 0 - 6 inches and</t>
    </r>
    <r>
      <rPr>
        <b/>
        <sz val="12"/>
        <rFont val="Arial"/>
        <family val="2"/>
      </rPr>
      <t xml:space="preserve"> 0 - 24</t>
    </r>
    <r>
      <rPr>
        <sz val="12"/>
        <rFont val="Arial"/>
        <family val="2"/>
      </rPr>
      <t xml:space="preserve"> inches, leave cell I9 blank and enter the 0 - 24 inch soil test result for chloride (Cl) in ppm into cell I14.</t>
    </r>
  </si>
  <si>
    <t>"Liquid" values are usually expressed as mg/l which is the same as (ppm).  "Solid" values are usually expressed as mg/kg which is the same as (ppm).  If values are reported as a (%), Multiply the % value by 10,000 to get ppm (mg/l or mg/kg).</t>
  </si>
  <si>
    <r>
      <t>NO</t>
    </r>
    <r>
      <rPr>
        <b/>
        <vertAlign val="subscript"/>
        <sz val="12"/>
        <rFont val="Arial"/>
        <family val="2"/>
      </rPr>
      <t>3</t>
    </r>
    <r>
      <rPr>
        <b/>
        <sz val="12"/>
        <rFont val="Arial"/>
        <family val="2"/>
      </rPr>
      <t xml:space="preserve">-N ppm (0 - 6 inch and 6 - 24 inch samples):  </t>
    </r>
    <r>
      <rPr>
        <sz val="12"/>
        <rFont val="Arial"/>
        <family val="2"/>
      </rPr>
      <t>From the lab report, locate the value for the 0 - 6 inch NO</t>
    </r>
    <r>
      <rPr>
        <vertAlign val="subscript"/>
        <sz val="12"/>
        <rFont val="Arial"/>
        <family val="2"/>
      </rPr>
      <t>3</t>
    </r>
    <r>
      <rPr>
        <sz val="12"/>
        <rFont val="Arial"/>
        <family val="2"/>
      </rPr>
      <t>-N test, and enter it into cell M18.  Then locate the value for the 6 - 24 inch NO</t>
    </r>
    <r>
      <rPr>
        <vertAlign val="subscript"/>
        <sz val="12"/>
        <rFont val="Arial"/>
        <family val="2"/>
      </rPr>
      <t>3</t>
    </r>
    <r>
      <rPr>
        <sz val="12"/>
        <rFont val="Arial"/>
        <family val="2"/>
      </rPr>
      <t>-N test, and enter that value into cells M19, M20, and M21.</t>
    </r>
  </si>
  <si>
    <r>
      <t>NO</t>
    </r>
    <r>
      <rPr>
        <b/>
        <vertAlign val="subscript"/>
        <sz val="12"/>
        <rFont val="Arial"/>
        <family val="2"/>
      </rPr>
      <t>3</t>
    </r>
    <r>
      <rPr>
        <b/>
        <sz val="12"/>
        <rFont val="Arial"/>
        <family val="2"/>
      </rPr>
      <t xml:space="preserve">-N ppm (0 - 6 inch and 0 - 24 inch samples):  </t>
    </r>
    <r>
      <rPr>
        <sz val="12"/>
        <rFont val="Arial"/>
        <family val="2"/>
      </rPr>
      <t>From the lab report, locate the value for the 0 - 24 inch NO</t>
    </r>
    <r>
      <rPr>
        <vertAlign val="subscript"/>
        <sz val="12"/>
        <rFont val="Arial"/>
        <family val="2"/>
      </rPr>
      <t>3</t>
    </r>
    <r>
      <rPr>
        <sz val="12"/>
        <rFont val="Arial"/>
        <family val="2"/>
      </rPr>
      <t>-N test, and enter it into cells M18, M19, M20, and M21.</t>
    </r>
  </si>
  <si>
    <r>
      <t>Solid manure</t>
    </r>
    <r>
      <rPr>
        <sz val="12"/>
        <rFont val="Arial"/>
      </rPr>
      <t xml:space="preserve"> includes manure with or without bedding, dry stack manure, compost, etc.  If you are spreading solid manure on this field, place an "x" in the cell (N25 - N28) that most closely describes your application method.</t>
    </r>
  </si>
  <si>
    <t>Liquid manure includes manure from lagoons, pits under barns, slurry from settling basins, etc.  If you are spreading liquid manure on this field, place an "x" in the cell (N29 - N32) that most closely describes your application method.</t>
  </si>
  <si>
    <t>Complete the REMOVAL sheet.</t>
  </si>
  <si>
    <t>Crop Nutrient Requirements for Fields:</t>
  </si>
  <si>
    <t>Prev. Crop</t>
  </si>
  <si>
    <r>
      <t>Crop Nutrient Requirements for Fields:</t>
    </r>
    <r>
      <rPr>
        <sz val="12"/>
        <rFont val="Arial"/>
      </rPr>
      <t xml:space="preserve">  Enter the Field ID(s) in cell E1 to designate any crops that may be planted as alternatives to the intended 5-year rotation.  </t>
    </r>
    <r>
      <rPr>
        <b/>
        <sz val="12"/>
        <rFont val="Arial"/>
        <family val="2"/>
      </rPr>
      <t>Note:</t>
    </r>
    <r>
      <rPr>
        <sz val="12"/>
        <rFont val="Arial"/>
      </rPr>
      <t xml:space="preserve">  More than one field may be listed, but they should all have the same yield goals.  This sheet may be copied for fields with different yield goals.</t>
    </r>
  </si>
  <si>
    <r>
      <t xml:space="preserve">Yield Goal(s):  </t>
    </r>
    <r>
      <rPr>
        <sz val="12"/>
        <rFont val="Arial"/>
        <family val="2"/>
      </rPr>
      <t xml:space="preserve">Enter a yield goal for each crop that should be designated as an alternative to the intended 5-year rotation.  </t>
    </r>
    <r>
      <rPr>
        <b/>
        <sz val="12"/>
        <rFont val="Arial"/>
        <family val="2"/>
      </rPr>
      <t>Note:</t>
    </r>
    <r>
      <rPr>
        <sz val="12"/>
        <rFont val="Arial"/>
        <family val="2"/>
      </rPr>
      <t xml:space="preserve">  If a yield goal is not entered, that crop will not be considered an approved alternative for the specified fields.</t>
    </r>
  </si>
  <si>
    <t>The FIELDS, REMOVAL, and SUMMARY sheets should be printed once for your NUP.</t>
  </si>
  <si>
    <t>The INPUT, WORKSHEET, and SM_ANALYSIS sheets should be printed for each field in your NUP.</t>
  </si>
  <si>
    <t>Complete the SUMMARY sheet.</t>
  </si>
  <si>
    <r>
      <t xml:space="preserve">     *</t>
    </r>
    <r>
      <rPr>
        <b/>
        <sz val="12"/>
        <rFont val="Arial"/>
        <family val="2"/>
      </rPr>
      <t>SUMMARY -</t>
    </r>
    <r>
      <rPr>
        <sz val="12"/>
        <rFont val="Arial"/>
      </rPr>
      <t xml:space="preserve"> A summary of maximum application rates and the resulting excess (or shortage) for all fields (Required by KDHE)</t>
    </r>
  </si>
  <si>
    <t xml:space="preserve">      NITROGEN RATES - A form used for calculations</t>
  </si>
  <si>
    <t>Facility Name:</t>
  </si>
  <si>
    <t>KDHE Permit #:</t>
  </si>
  <si>
    <t>1000 Gallons</t>
  </si>
  <si>
    <r>
      <t>Manure Volume:</t>
    </r>
    <r>
      <rPr>
        <sz val="12"/>
        <rFont val="Arial"/>
      </rPr>
      <t xml:space="preserve">  Enter the total volume of manure generated by the facility (1,000 gallon units or tons) in cell D11.  Place an "x" either in cell D11 or D12 to note whether those units are 1,000 gallons or tons.</t>
    </r>
  </si>
  <si>
    <r>
      <t>Manure Application:</t>
    </r>
    <r>
      <rPr>
        <sz val="12"/>
        <rFont val="Arial"/>
      </rPr>
      <t xml:space="preserve">  Place an "x" in cells H5 through H10 next to any application methods that may be utilized.</t>
    </r>
  </si>
  <si>
    <r>
      <t xml:space="preserve">Application Method:  </t>
    </r>
    <r>
      <rPr>
        <sz val="12"/>
        <rFont val="Arial"/>
        <family val="2"/>
      </rPr>
      <t>Place and "x" in cells H13 and/or H14 to note whether manure is incorporated or surface applied.</t>
    </r>
  </si>
  <si>
    <t>Manure Application Allowed:</t>
  </si>
  <si>
    <t>Enter the amount of manure to be applied to each field for each year of the plan (Taken from Col I, "Manure Application Rate" on the WORKSHEET sheet).</t>
  </si>
  <si>
    <t>Enter the first year of the 5-year plan in cell D15.</t>
  </si>
  <si>
    <t>Enter each  Field ID and Spreadable Acres listed on the FIELDS sheet in columns B and C.</t>
  </si>
  <si>
    <t>Print:</t>
  </si>
  <si>
    <t>Submit:</t>
  </si>
  <si>
    <t>1)  Signed Nutrient Utilization Plan Form</t>
  </si>
  <si>
    <t>2)  Above mentioned spreadsheets</t>
  </si>
  <si>
    <t>3)  Laboratory soil test reports</t>
  </si>
  <si>
    <t>4)  Corresponding signed KDHE Soil Sampling Certification forms</t>
  </si>
  <si>
    <t>5)  Laboratory manure test reports</t>
  </si>
  <si>
    <t>The following NUP components should be submitted to the KDHE Livestock Waste Management Section:</t>
  </si>
  <si>
    <r>
      <t xml:space="preserve">Note: </t>
    </r>
    <r>
      <rPr>
        <sz val="12"/>
        <rFont val="Arial"/>
      </rPr>
      <t xml:space="preserve"> Many of the NUP requirements are also federal Nutrient Management Plan (NMP)</t>
    </r>
  </si>
  <si>
    <t>requirements so these items may be included with your NMP.</t>
  </si>
  <si>
    <t>This can also be used as a management tool.  For example, if you have 2,000,000 gallons of manure to be applied each year, but the WORKSHEET shows that you can apply 4,000,000 gallons (more than you have available), enter 50% in the % Max Applied cell.  The WORKSHEET will then show you can apply 2,000,000 gallons to the field, and the phosphorus build-up will be closer to actual conditions rather than the inflated build-up it would've indicated if it showed that you applied 4,000,000 gallons.</t>
  </si>
  <si>
    <r>
      <t>Quantity Applied:</t>
    </r>
    <r>
      <rPr>
        <sz val="12"/>
        <rFont val="Arial"/>
        <family val="2"/>
      </rPr>
      <t xml:space="preserve">  Enter the quantity of manure applied to this field during the year shown to the left, in tons/acre or 1,000 gallons/acre, for cells D21 and D22.  For example, if 5,600 gal was applied per acre, enter 5.6 (1,000 gallon units).  If 20 tons per acre was applied, enter 20.</t>
    </r>
  </si>
  <si>
    <t>Input Form for Nutrient Utilization Plan Worksheet</t>
  </si>
  <si>
    <t>GENERAL INFORMATION:</t>
  </si>
  <si>
    <t>CROP ROTATION:</t>
  </si>
  <si>
    <t>Year*</t>
  </si>
  <si>
    <t>Crop</t>
  </si>
  <si>
    <t>Yield</t>
  </si>
  <si>
    <t>% of max</t>
  </si>
  <si>
    <t xml:space="preserve">  County:</t>
  </si>
  <si>
    <t>Field ID:</t>
  </si>
  <si>
    <t>Wheat</t>
  </si>
  <si>
    <t>applied**</t>
  </si>
  <si>
    <t xml:space="preserve">  (Tons or Gallons)</t>
  </si>
  <si>
    <t>* Previous is the year prior to the initial year of the plan.</t>
  </si>
  <si>
    <t>** Percent of maximum manure allowed, projected to be applied.</t>
  </si>
  <si>
    <t>Type of irrigation</t>
  </si>
  <si>
    <t>SOIL ANALYSIS:</t>
  </si>
  <si>
    <t>Soil analysis</t>
  </si>
  <si>
    <t xml:space="preserve">  Testing Method</t>
  </si>
  <si>
    <t>Depth</t>
  </si>
  <si>
    <t>NO3 - N ppm</t>
  </si>
  <si>
    <t>P ppm</t>
  </si>
  <si>
    <t>testing method</t>
  </si>
  <si>
    <t xml:space="preserve">   Check Appropriate Box</t>
  </si>
  <si>
    <t>0 - 6"</t>
  </si>
  <si>
    <t>Bray-1</t>
  </si>
  <si>
    <t>6 - 12"</t>
  </si>
  <si>
    <t>Mehlich-3</t>
  </si>
  <si>
    <t>12 - 18"</t>
  </si>
  <si>
    <t>Olsen</t>
  </si>
  <si>
    <t>18 - 24"</t>
  </si>
  <si>
    <t xml:space="preserve"> Nutrient</t>
  </si>
  <si>
    <t>mg/l</t>
  </si>
  <si>
    <t>ppm</t>
  </si>
  <si>
    <t>lbs/acre-in</t>
  </si>
  <si>
    <t>lbs/ton</t>
  </si>
  <si>
    <t xml:space="preserve"> Mark an "x" in appropriate box below (one only)</t>
  </si>
  <si>
    <t xml:space="preserve"> Total N</t>
  </si>
  <si>
    <t xml:space="preserve"> Organic N</t>
  </si>
  <si>
    <t xml:space="preserve"> Solid, Without Bedding - Surface applied</t>
  </si>
  <si>
    <t xml:space="preserve"> Solid, With Bedding - Surface applied</t>
  </si>
  <si>
    <t xml:space="preserve"> P2O5</t>
  </si>
  <si>
    <t xml:space="preserve"> Liquid Pit, Surface Applied</t>
  </si>
  <si>
    <t>N</t>
  </si>
  <si>
    <t xml:space="preserve"> Lagoon, Surface Applied</t>
  </si>
  <si>
    <t/>
  </si>
  <si>
    <t>County:</t>
  </si>
  <si>
    <t xml:space="preserve">Producer / Farm Name: </t>
  </si>
  <si>
    <t>Application (tons or gallons):</t>
  </si>
  <si>
    <t xml:space="preserve"> KDHE Permit</t>
  </si>
  <si>
    <t xml:space="preserve">  or</t>
  </si>
  <si>
    <t xml:space="preserve"> Application No:</t>
  </si>
  <si>
    <t xml:space="preserve">Category: </t>
  </si>
  <si>
    <t>Col  A</t>
  </si>
  <si>
    <t>Col  C</t>
  </si>
  <si>
    <t>Col  D</t>
  </si>
  <si>
    <t>Col  E</t>
  </si>
  <si>
    <t>Col  F</t>
  </si>
  <si>
    <t>Col  G</t>
  </si>
  <si>
    <t>Col  H</t>
  </si>
  <si>
    <t>Col  I</t>
  </si>
  <si>
    <t>Col  J</t>
  </si>
  <si>
    <t>Col  K</t>
  </si>
  <si>
    <t>Col  xx</t>
  </si>
  <si>
    <t xml:space="preserve"> Year</t>
  </si>
  <si>
    <t xml:space="preserve"> Crop/Veg</t>
  </si>
  <si>
    <t xml:space="preserve"> Expected</t>
  </si>
  <si>
    <t xml:space="preserve"> Estimated</t>
  </si>
  <si>
    <t>Soil Test</t>
  </si>
  <si>
    <t xml:space="preserve"> Basis</t>
  </si>
  <si>
    <t xml:space="preserve"> Allowable</t>
  </si>
  <si>
    <t xml:space="preserve"> Net</t>
  </si>
  <si>
    <t xml:space="preserve"> Total</t>
  </si>
  <si>
    <t>YG</t>
  </si>
  <si>
    <t>PCA</t>
  </si>
  <si>
    <t>PYM</t>
  </si>
  <si>
    <t>PNST</t>
  </si>
  <si>
    <t>N Rec</t>
  </si>
  <si>
    <t>Basis</t>
  </si>
  <si>
    <t xml:space="preserve"> Yield</t>
  </si>
  <si>
    <t xml:space="preserve"> N  Removal</t>
  </si>
  <si>
    <t>P (ppm P)</t>
  </si>
  <si>
    <t xml:space="preserve"> of</t>
  </si>
  <si>
    <t xml:space="preserve"> N or P2O5</t>
  </si>
  <si>
    <t xml:space="preserve"> Application</t>
  </si>
  <si>
    <t xml:space="preserve"> Addition</t>
  </si>
  <si>
    <t>x Factor</t>
  </si>
  <si>
    <t>type</t>
  </si>
  <si>
    <t>of</t>
  </si>
  <si>
    <t xml:space="preserve"> units/acre</t>
  </si>
  <si>
    <t xml:space="preserve"> lbs/acre</t>
  </si>
  <si>
    <t xml:space="preserve"> Removal</t>
  </si>
  <si>
    <t xml:space="preserve"> Appl.</t>
  </si>
  <si>
    <t xml:space="preserve"> Rate</t>
  </si>
  <si>
    <t xml:space="preserve"> (loss) P2O5</t>
  </si>
  <si>
    <t xml:space="preserve"> Applied</t>
  </si>
  <si>
    <t>x STA</t>
  </si>
  <si>
    <t>AL</t>
  </si>
  <si>
    <t>appl.</t>
  </si>
  <si>
    <t xml:space="preserve"> Solids  tons/ac</t>
  </si>
  <si>
    <t xml:space="preserve"> lbs P2O5/ac</t>
  </si>
  <si>
    <t xml:space="preserve"> Solids - tons</t>
  </si>
  <si>
    <t>PL</t>
  </si>
  <si>
    <t>N or P</t>
  </si>
  <si>
    <t xml:space="preserve"> Lq 1000 gal/ac</t>
  </si>
  <si>
    <t xml:space="preserve"> Lq -1000 gal</t>
  </si>
  <si>
    <t>Other</t>
  </si>
  <si>
    <t>Enter lab</t>
  </si>
  <si>
    <t>Table 3,</t>
  </si>
  <si>
    <t>Instructions</t>
  </si>
  <si>
    <t>Circle above</t>
  </si>
  <si>
    <t xml:space="preserve">Col I x P </t>
  </si>
  <si>
    <t>analysis</t>
  </si>
  <si>
    <t>page 10</t>
  </si>
  <si>
    <t>Page 2</t>
  </si>
  <si>
    <t>Col H / Factor</t>
  </si>
  <si>
    <t>Factor (Table 4,</t>
  </si>
  <si>
    <t>Column I</t>
  </si>
  <si>
    <t>code</t>
  </si>
  <si>
    <t>(Table 4, page 11)</t>
  </si>
  <si>
    <t>page 11) - Col E</t>
  </si>
  <si>
    <t xml:space="preserve"> x Acres</t>
  </si>
  <si>
    <t>Nitrogen</t>
  </si>
  <si>
    <t>Unit</t>
  </si>
  <si>
    <t>P2O5</t>
  </si>
  <si>
    <t>Req.</t>
  </si>
  <si>
    <t>Type</t>
  </si>
  <si>
    <t>Adj.</t>
  </si>
  <si>
    <t>Alfalfa</t>
  </si>
  <si>
    <t>Barley</t>
  </si>
  <si>
    <t>lbs/bu</t>
  </si>
  <si>
    <t>Canola</t>
  </si>
  <si>
    <t>Corn silage</t>
  </si>
  <si>
    <t>Cotton</t>
  </si>
  <si>
    <t>lbs/bale</t>
  </si>
  <si>
    <t>Fallow</t>
  </si>
  <si>
    <t>xxxxx</t>
  </si>
  <si>
    <t>Flax</t>
  </si>
  <si>
    <t>Oats</t>
  </si>
  <si>
    <t>Potatoes</t>
  </si>
  <si>
    <t>lbs/cwt</t>
  </si>
  <si>
    <t>Red clover</t>
  </si>
  <si>
    <t>Sorghum silage</t>
  </si>
  <si>
    <t>Soybeans</t>
  </si>
  <si>
    <t>Sugar beets</t>
  </si>
  <si>
    <t>Sunflowers</t>
  </si>
  <si>
    <t>Triticale</t>
  </si>
  <si>
    <t>Wheat silage</t>
  </si>
  <si>
    <t>Bray-1 or Mehlich-3</t>
  </si>
  <si>
    <t>1.0 x N</t>
  </si>
  <si>
    <t>1.5 x P2O5</t>
  </si>
  <si>
    <t>P</t>
  </si>
  <si>
    <t>1.0 x P2O5</t>
  </si>
  <si>
    <t>None</t>
  </si>
  <si>
    <t>Handling system</t>
  </si>
  <si>
    <t>Units</t>
  </si>
  <si>
    <t>Solid, without bedding - incorporated</t>
  </si>
  <si>
    <t>Solid, without bedding - surface applied</t>
  </si>
  <si>
    <t>Solid, with bedding - incorporated</t>
  </si>
  <si>
    <t>Solid, with bedding - surface applied</t>
  </si>
  <si>
    <t>lbs/1000 gal</t>
  </si>
  <si>
    <t>Numbers calculated from manure analysis</t>
  </si>
  <si>
    <t>Cat 1</t>
  </si>
  <si>
    <t>Cat 2</t>
  </si>
  <si>
    <t>Cat 3</t>
  </si>
  <si>
    <t>xxx</t>
  </si>
  <si>
    <t xml:space="preserve">   Acreage: </t>
  </si>
  <si>
    <t xml:space="preserve"> Maximum  P  Soil Test Level (ppm  P): </t>
  </si>
  <si>
    <t xml:space="preserve">Initial:  </t>
  </si>
  <si>
    <t xml:space="preserve">Previous:  </t>
  </si>
  <si>
    <t xml:space="preserve">  KDHE Permit  Number</t>
  </si>
  <si>
    <t xml:space="preserve">   or KDHE Application No:</t>
  </si>
  <si>
    <t xml:space="preserve"> Check Appropriate Box "x"</t>
  </si>
  <si>
    <t xml:space="preserve"> Soil Type</t>
  </si>
  <si>
    <t xml:space="preserve"> Sandy Soil</t>
  </si>
  <si>
    <t xml:space="preserve"> Med &amp; Fine Texture</t>
  </si>
  <si>
    <t xml:space="preserve"> Bray-1</t>
  </si>
  <si>
    <t xml:space="preserve"> Mehlich-3</t>
  </si>
  <si>
    <t xml:space="preserve"> Olsen</t>
  </si>
  <si>
    <t>Date:</t>
  </si>
  <si>
    <t>For the Current year only.</t>
  </si>
  <si>
    <t>The following calculations are used to determine the Available N to use in the Nitrogen</t>
  </si>
  <si>
    <t>Requirement formula for the crop listed on the Nutrient Utilization Plan Worksheet (Col H).</t>
  </si>
  <si>
    <t>Farm / Producer:</t>
  </si>
  <si>
    <t>Year:</t>
  </si>
  <si>
    <t>Crop:</t>
  </si>
  <si>
    <t>Meh-3</t>
  </si>
  <si>
    <t>Yield:</t>
  </si>
  <si>
    <t>Nitrogen Requirenent = [Yield Goal x  N Require x STA] - PCA - PYM - PNST</t>
  </si>
  <si>
    <t>x  STA</t>
  </si>
  <si>
    <t>-  PCA</t>
  </si>
  <si>
    <t>-  PYM</t>
  </si>
  <si>
    <t>-  PNST*</t>
  </si>
  <si>
    <t>PNST*:  From soil analysis report</t>
  </si>
  <si>
    <t>Inches</t>
  </si>
  <si>
    <t>Factor</t>
  </si>
  <si>
    <t>NO3-N ppm</t>
  </si>
  <si>
    <t>Total</t>
  </si>
  <si>
    <t>MANURE ANALYSIS:</t>
  </si>
  <si>
    <t>Nutrient</t>
  </si>
  <si>
    <t>Total N</t>
  </si>
  <si>
    <t>Organic N</t>
  </si>
  <si>
    <t>NH4-N</t>
  </si>
  <si>
    <t>NO3-N</t>
  </si>
  <si>
    <t>Figuring Available N from manure the first year:</t>
  </si>
  <si>
    <t>* Approximately 27,000 gal in an acre-inch of water</t>
  </si>
  <si>
    <t>Solid no bedding, Incorporated</t>
  </si>
  <si>
    <t>Solid no bedding, Surface</t>
  </si>
  <si>
    <t>Solid, bedding, Incorporated</t>
  </si>
  <si>
    <t>Solid, bedding, Surface</t>
  </si>
  <si>
    <t>Liquid pit, Incorporated</t>
  </si>
  <si>
    <t>Liquid pit, Surface</t>
  </si>
  <si>
    <t>Liquid lagoon, Incorporated</t>
  </si>
  <si>
    <t>Liquid lagoon, Surface</t>
  </si>
  <si>
    <t>MANURE APPLICATION METHOD:</t>
  </si>
  <si>
    <t>Available N</t>
  </si>
  <si>
    <t xml:space="preserve">NH4-N x Availability </t>
  </si>
  <si>
    <t>Organic N x .33 Avail. 1st year</t>
  </si>
  <si>
    <t>Figuring P2O5 from manure the first year:</t>
  </si>
  <si>
    <t>x  N Req.</t>
  </si>
  <si>
    <t>N lbs/acre</t>
  </si>
  <si>
    <t xml:space="preserve">  SOIL &amp; MANURE ANALYSIS SUMMARY</t>
  </si>
  <si>
    <t>Testing method:</t>
  </si>
  <si>
    <t>= N lbs/acre</t>
  </si>
  <si>
    <t>---</t>
  </si>
  <si>
    <t>Value to</t>
  </si>
  <si>
    <t>lookup in</t>
  </si>
  <si>
    <t>soil test P</t>
  </si>
  <si>
    <t>AL = Annual legume (less 1000), PL = Perennial legume (less 2000), and Other = all other crops (less 3000)</t>
  </si>
  <si>
    <t>Milo</t>
  </si>
  <si>
    <t>req/rem</t>
  </si>
  <si>
    <t>Sudangrass hay</t>
  </si>
  <si>
    <t xml:space="preserve"> Solid, Without Bedding - Incorporated (within 24 hours)</t>
  </si>
  <si>
    <t xml:space="preserve"> Solid, With Bedding - Incorporated (within 24 hours)</t>
  </si>
  <si>
    <t xml:space="preserve"> Liquid Pit, Incorporated (within 24 hours)</t>
  </si>
  <si>
    <t xml:space="preserve"> Lagoon, Incorporated (within 24 hours)</t>
  </si>
  <si>
    <t>Col  B*</t>
  </si>
  <si>
    <t xml:space="preserve">  Max Soil Test P Level (ppm):</t>
  </si>
  <si>
    <t>* If any of the cells in Col B are "#N/A" check to make sure spelling of crop on "Input" sheet is the same as on "Removal" sheet</t>
  </si>
  <si>
    <t>Liquid, Pit - incorporated</t>
  </si>
  <si>
    <t>Liquid, Pit - surface applied</t>
  </si>
  <si>
    <t>Liquid, Lagoon - incorporated</t>
  </si>
  <si>
    <t>Liquid, Lagoon - surface applied</t>
  </si>
  <si>
    <t xml:space="preserve">  Last yr (Y/N)?</t>
  </si>
  <si>
    <t xml:space="preserve"> 2 yrs ago (Y/N)?</t>
  </si>
  <si>
    <t>Alfalfa cut-graze</t>
  </si>
  <si>
    <t>Bermudagrass graze</t>
  </si>
  <si>
    <t>Bermudagrass hay</t>
  </si>
  <si>
    <t>Bromegrass graze</t>
  </si>
  <si>
    <t>Bromegrass hay</t>
  </si>
  <si>
    <t>CRP</t>
  </si>
  <si>
    <t>lbs/acre</t>
  </si>
  <si>
    <t>Fescue graze</t>
  </si>
  <si>
    <t>Fescue hay</t>
  </si>
  <si>
    <t>Native grass graze</t>
  </si>
  <si>
    <t>Native grass hay</t>
  </si>
  <si>
    <t>Rye graze out</t>
  </si>
  <si>
    <t>Wheat grain &amp; graze</t>
  </si>
  <si>
    <t>Wheat grain &amp; straw</t>
  </si>
  <si>
    <t>Wheat graze out</t>
  </si>
  <si>
    <t>Wheatgrass hay</t>
  </si>
  <si>
    <t xml:space="preserve">ADDITIONAL SOIL ANALYSIS VALUES </t>
  </si>
  <si>
    <t>0-6 INCHES</t>
  </si>
  <si>
    <t>PPM</t>
  </si>
  <si>
    <t>Copper</t>
  </si>
  <si>
    <t>Zinc</t>
  </si>
  <si>
    <t>Chloride</t>
  </si>
  <si>
    <t>6-24 INCHES</t>
  </si>
  <si>
    <t>OR</t>
  </si>
  <si>
    <t>0-24 INCHES</t>
  </si>
  <si>
    <t>* If using Book Values for manure</t>
  </si>
  <si>
    <t xml:space="preserve"> insert values in </t>
  </si>
  <si>
    <t>Corn</t>
  </si>
  <si>
    <t>Grain sorghum</t>
  </si>
  <si>
    <t>Rye</t>
  </si>
  <si>
    <t>Facility Name (listed on Permit)</t>
  </si>
  <si>
    <t>0 - 6 inches</t>
  </si>
  <si>
    <t>6 - 12 inches</t>
  </si>
  <si>
    <t>12 - 18 inches</t>
  </si>
  <si>
    <t>18 - 24 inches</t>
  </si>
  <si>
    <t>K2O</t>
  </si>
  <si>
    <t>Removal</t>
  </si>
  <si>
    <t>County</t>
  </si>
  <si>
    <t>PREVIOUS MANURE</t>
  </si>
  <si>
    <t>Name</t>
  </si>
  <si>
    <t xml:space="preserve">  Truck/Spreader, Surface Application</t>
  </si>
  <si>
    <t>APPLICATION</t>
  </si>
  <si>
    <t>Allen</t>
  </si>
  <si>
    <t xml:space="preserve">  Truck/Spreader, Inject</t>
  </si>
  <si>
    <t>Anderson</t>
  </si>
  <si>
    <t xml:space="preserve">  Honey Wagon, Surface Application</t>
  </si>
  <si>
    <t>Acres</t>
  </si>
  <si>
    <t>Legal</t>
  </si>
  <si>
    <t>Atchison</t>
  </si>
  <si>
    <t xml:space="preserve">  Honey Wagon, Inject</t>
  </si>
  <si>
    <t>Barber</t>
  </si>
  <si>
    <t xml:space="preserve">  Center Pivot</t>
  </si>
  <si>
    <t>CATEGORY</t>
  </si>
  <si>
    <t>Barton</t>
  </si>
  <si>
    <t xml:space="preserve">  Dragline/inject</t>
  </si>
  <si>
    <t>Bourbon</t>
  </si>
  <si>
    <t xml:space="preserve">  Traveling Gun</t>
  </si>
  <si>
    <t>Brown</t>
  </si>
  <si>
    <t xml:space="preserve">  Flood Irrigation</t>
  </si>
  <si>
    <t>Butler</t>
  </si>
  <si>
    <t xml:space="preserve">  Drip Irrigation</t>
  </si>
  <si>
    <t>Chase</t>
  </si>
  <si>
    <t xml:space="preserve">  Other</t>
  </si>
  <si>
    <t>Chautauqua</t>
  </si>
  <si>
    <t>Cherokee</t>
  </si>
  <si>
    <t>TYPE OF MANURE</t>
  </si>
  <si>
    <t>Cheyenne</t>
  </si>
  <si>
    <t>Liquid</t>
  </si>
  <si>
    <t>Clark</t>
  </si>
  <si>
    <t>Solid</t>
  </si>
  <si>
    <t>Clay</t>
  </si>
  <si>
    <t>Cloud</t>
  </si>
  <si>
    <t>Coffey</t>
  </si>
  <si>
    <t>Comanche</t>
  </si>
  <si>
    <t>Cowley</t>
  </si>
  <si>
    <t>Crawford</t>
  </si>
  <si>
    <t>Decatur</t>
  </si>
  <si>
    <t>Dickinson</t>
  </si>
  <si>
    <t>Doniphan</t>
  </si>
  <si>
    <t>Douglas</t>
  </si>
  <si>
    <t>Edwards</t>
  </si>
  <si>
    <t>Elk</t>
  </si>
  <si>
    <t>Ellis</t>
  </si>
  <si>
    <t>Ellsworth</t>
  </si>
  <si>
    <t>Finney</t>
  </si>
  <si>
    <t>Ford</t>
  </si>
  <si>
    <t>Franklin</t>
  </si>
  <si>
    <t>Geary</t>
  </si>
  <si>
    <t>Gove</t>
  </si>
  <si>
    <t>Graham</t>
  </si>
  <si>
    <t>Grant</t>
  </si>
  <si>
    <t>Gray</t>
  </si>
  <si>
    <t>Greeley</t>
  </si>
  <si>
    <t>Greenwood</t>
  </si>
  <si>
    <t>Hamilton</t>
  </si>
  <si>
    <t>Harper</t>
  </si>
  <si>
    <t>Harvey</t>
  </si>
  <si>
    <t>Haskell</t>
  </si>
  <si>
    <t>Hodgeman</t>
  </si>
  <si>
    <t>Jackson</t>
  </si>
  <si>
    <t>Jefferson</t>
  </si>
  <si>
    <t>Jewell</t>
  </si>
  <si>
    <t>Johnson</t>
  </si>
  <si>
    <t>Kingman</t>
  </si>
  <si>
    <t>Kiowa</t>
  </si>
  <si>
    <t>Labette</t>
  </si>
  <si>
    <t>Lane</t>
  </si>
  <si>
    <t>Leavenworth</t>
  </si>
  <si>
    <t>Lincoln</t>
  </si>
  <si>
    <t>Linn</t>
  </si>
  <si>
    <t>Logan</t>
  </si>
  <si>
    <t>Lyon</t>
  </si>
  <si>
    <t>Marion</t>
  </si>
  <si>
    <t>Marshall</t>
  </si>
  <si>
    <t>McPherson</t>
  </si>
  <si>
    <t>Meade</t>
  </si>
  <si>
    <t>Miami</t>
  </si>
  <si>
    <t>Mitchell</t>
  </si>
  <si>
    <t>Montgomery</t>
  </si>
  <si>
    <t>Morris</t>
  </si>
  <si>
    <t>Morton</t>
  </si>
  <si>
    <t>Nemaha</t>
  </si>
  <si>
    <t>Neosho</t>
  </si>
  <si>
    <t>Ness</t>
  </si>
  <si>
    <t>Norton</t>
  </si>
  <si>
    <t>Osage</t>
  </si>
  <si>
    <t>Osborne</t>
  </si>
  <si>
    <t>Ottawa</t>
  </si>
  <si>
    <t>Pawnee</t>
  </si>
  <si>
    <t>Phillips</t>
  </si>
  <si>
    <t>Pottawatomie</t>
  </si>
  <si>
    <t>Pratt</t>
  </si>
  <si>
    <t>Rawlins</t>
  </si>
  <si>
    <t>Reno</t>
  </si>
  <si>
    <t>Republic</t>
  </si>
  <si>
    <t>Rice</t>
  </si>
  <si>
    <t>Riley</t>
  </si>
  <si>
    <t>Rooks</t>
  </si>
  <si>
    <t>Rush</t>
  </si>
  <si>
    <t>Russell</t>
  </si>
  <si>
    <t>Saline</t>
  </si>
  <si>
    <t>Scott</t>
  </si>
  <si>
    <t>Sedgwick</t>
  </si>
  <si>
    <t>Seward</t>
  </si>
  <si>
    <t>Shawnee</t>
  </si>
  <si>
    <t>Sheridan</t>
  </si>
  <si>
    <t>Sherman</t>
  </si>
  <si>
    <t>Smith</t>
  </si>
  <si>
    <t>Stafford</t>
  </si>
  <si>
    <t>Stanton</t>
  </si>
  <si>
    <t>Stevens</t>
  </si>
  <si>
    <t>Sumner</t>
  </si>
  <si>
    <t>Thomas</t>
  </si>
  <si>
    <t>Trego</t>
  </si>
  <si>
    <t>Wabaunsee</t>
  </si>
  <si>
    <t>Wallace</t>
  </si>
  <si>
    <t>Washington</t>
  </si>
  <si>
    <t>Wichita</t>
  </si>
  <si>
    <t>Wilson</t>
  </si>
  <si>
    <t>Woodson</t>
  </si>
  <si>
    <t>Wyandotte</t>
  </si>
  <si>
    <t xml:space="preserve">CATEGORY EXPLANATION </t>
  </si>
  <si>
    <t xml:space="preserve">Cat 1:   </t>
  </si>
  <si>
    <t>Less than 22" annual rainfall  &amp;</t>
  </si>
  <si>
    <t xml:space="preserve">Less than 5% field slope   </t>
  </si>
  <si>
    <t>Cat 2:</t>
  </si>
  <si>
    <t xml:space="preserve">22" - 30" annual rainfall  &amp; </t>
  </si>
  <si>
    <t>or</t>
  </si>
  <si>
    <t>22" - 30"  annual rainfall  &amp;  greater than 5% field slope (any part of the field).</t>
  </si>
  <si>
    <t>Cat 3:</t>
  </si>
  <si>
    <t>Over 30" annual rainfall &amp; less than 5% field slope.</t>
  </si>
  <si>
    <t>Over 30"  annual rainfall &amp;  greater than 5% field slope (any part of the field).</t>
  </si>
  <si>
    <t>*CALL KDA AT 785-296-3786 FOR A MAP SHOWING THE RAINFALL AREAS.</t>
  </si>
  <si>
    <t>Yes</t>
  </si>
  <si>
    <t>No</t>
  </si>
  <si>
    <t>COMMENTS:</t>
  </si>
  <si>
    <t xml:space="preserve">1st-List Field ID's in "Fields" tab (below). </t>
  </si>
  <si>
    <t>*Maximum of 15 charcter spaces for Field ID</t>
  </si>
  <si>
    <t>Field ID*</t>
  </si>
  <si>
    <t>When all fields have been entered, click on "Sort Fields"</t>
  </si>
  <si>
    <t xml:space="preserve">Step 1:  </t>
  </si>
  <si>
    <t xml:space="preserve">Step 2:  </t>
  </si>
  <si>
    <t xml:space="preserve">Step 3:  </t>
  </si>
  <si>
    <t>NITROGEN CREDIT FROM MANURE ORGANIC-N VALUES:</t>
  </si>
  <si>
    <t>Application Year</t>
  </si>
  <si>
    <t>Organ-N Value</t>
  </si>
  <si>
    <t>Org-N Amt</t>
  </si>
  <si>
    <t>credit/unit app</t>
  </si>
  <si>
    <t>Nitrogen Credit</t>
  </si>
  <si>
    <t>Lbs/acre</t>
  </si>
  <si>
    <t>Total Nitrogen Credits Lbs/Acre</t>
  </si>
  <si>
    <t>ppm (analysis)</t>
  </si>
  <si>
    <t>If "Yes" enter values in Cells C21 &amp; D21</t>
  </si>
  <si>
    <t>If "Yes" enter values in Cells C22 &amp; D22</t>
  </si>
  <si>
    <t xml:space="preserve"> Cells C27 through C31</t>
  </si>
  <si>
    <t>Land Owner's Name and Address (Only one line for information)</t>
  </si>
  <si>
    <r>
      <t xml:space="preserve"> P</t>
    </r>
    <r>
      <rPr>
        <b/>
        <sz val="8"/>
        <rFont val="Arial"/>
        <family val="2"/>
      </rPr>
      <t>2</t>
    </r>
    <r>
      <rPr>
        <b/>
        <sz val="10"/>
        <rFont val="Arial"/>
        <family val="2"/>
      </rPr>
      <t>O</t>
    </r>
    <r>
      <rPr>
        <b/>
        <sz val="8"/>
        <rFont val="Arial"/>
        <family val="2"/>
      </rPr>
      <t>5</t>
    </r>
  </si>
  <si>
    <r>
      <t xml:space="preserve"> NO</t>
    </r>
    <r>
      <rPr>
        <b/>
        <sz val="8"/>
        <rFont val="Arial"/>
        <family val="2"/>
      </rPr>
      <t>3</t>
    </r>
    <r>
      <rPr>
        <b/>
        <sz val="10"/>
        <rFont val="Arial"/>
        <family val="2"/>
      </rPr>
      <t>-N</t>
    </r>
  </si>
  <si>
    <r>
      <t xml:space="preserve"> NH</t>
    </r>
    <r>
      <rPr>
        <b/>
        <sz val="8"/>
        <rFont val="Arial"/>
        <family val="2"/>
      </rPr>
      <t>4</t>
    </r>
    <r>
      <rPr>
        <b/>
        <sz val="10"/>
        <rFont val="Arial"/>
        <family val="2"/>
      </rPr>
      <t>-N</t>
    </r>
  </si>
  <si>
    <t>Kearny</t>
  </si>
  <si>
    <t xml:space="preserve">* Check all  </t>
  </si>
  <si>
    <t>Manure Application*</t>
  </si>
  <si>
    <t xml:space="preserve">that apply  </t>
  </si>
  <si>
    <t>Truck or Wagon</t>
  </si>
  <si>
    <t>Center Pivot</t>
  </si>
  <si>
    <t>Dragline/Inject</t>
  </si>
  <si>
    <t>If more than one page is needed insert additional rows to this page</t>
  </si>
  <si>
    <t>Traveling Gun</t>
  </si>
  <si>
    <t>Flood Irrigation</t>
  </si>
  <si>
    <t>Cell E9/10 - place An "X" in apprpriate cell</t>
  </si>
  <si>
    <t>Drip Irrigation</t>
  </si>
  <si>
    <t>Tons</t>
  </si>
  <si>
    <t>Application Method</t>
  </si>
  <si>
    <t>Cell D15 - Enter first year of five-year plan</t>
  </si>
  <si>
    <t>Incorporated</t>
  </si>
  <si>
    <t>Surface</t>
  </si>
  <si>
    <t>Field ID</t>
  </si>
  <si>
    <t>Totals:</t>
  </si>
  <si>
    <t>Excess or  (-) Shortage:</t>
  </si>
  <si>
    <t>Quan. Applied</t>
  </si>
  <si>
    <t>Year</t>
  </si>
  <si>
    <t>Required N</t>
  </si>
  <si>
    <t>Residual N</t>
  </si>
  <si>
    <t>Removal N</t>
  </si>
  <si>
    <t>Previous</t>
  </si>
  <si>
    <t>Nitrogen application rate based on Projected Crop Yield.</t>
  </si>
  <si>
    <t>Application</t>
  </si>
  <si>
    <t>Rate</t>
  </si>
  <si>
    <t>General Instructions:</t>
  </si>
  <si>
    <t>STEP 1:</t>
  </si>
  <si>
    <t xml:space="preserve">      Landowner name &amp; address</t>
  </si>
  <si>
    <t>Step 2:</t>
  </si>
  <si>
    <t>NOTE:</t>
  </si>
  <si>
    <r>
      <t xml:space="preserve">      </t>
    </r>
    <r>
      <rPr>
        <b/>
        <sz val="12"/>
        <rFont val="Arial"/>
        <family val="2"/>
      </rPr>
      <t>Legal description</t>
    </r>
    <r>
      <rPr>
        <sz val="12"/>
        <rFont val="Arial"/>
      </rPr>
      <t xml:space="preserve"> (Quarter - Section - Township - Range)</t>
    </r>
  </si>
  <si>
    <t>Nutrient Utilization Plan Worksheet</t>
  </si>
  <si>
    <t>*The Bold faced Titles are the only sheets you can enter information into (yellow cells) or select information (green cells).</t>
  </si>
  <si>
    <t>DATE (use mm/dd/yyyy format):</t>
  </si>
  <si>
    <t>Available N and P from Manure</t>
  </si>
  <si>
    <t>Manure</t>
  </si>
  <si>
    <t>Estimated Annual Manure</t>
  </si>
  <si>
    <t>Manure Volume:</t>
  </si>
  <si>
    <t>Manure Application Allowed</t>
  </si>
  <si>
    <t>Manure Available:</t>
  </si>
  <si>
    <t>Manure Application Summary</t>
  </si>
  <si>
    <t>Cell D9 - Enter quantity of manure to apply annually from facility</t>
  </si>
  <si>
    <t>Basis for Manure Application Rate</t>
  </si>
  <si>
    <t>MANURE INFORMATION:</t>
  </si>
  <si>
    <t xml:space="preserve"> Manure Characteristics:</t>
  </si>
  <si>
    <t xml:space="preserve"> Manure</t>
  </si>
  <si>
    <t xml:space="preserve"> Manure for Application</t>
  </si>
  <si>
    <t>Was manure applied to this field</t>
  </si>
  <si>
    <t>Manure Information</t>
  </si>
  <si>
    <t xml:space="preserve"> Estimated Annual</t>
  </si>
  <si>
    <t>N Leaching Index</t>
  </si>
  <si>
    <t>Application Rate Limitation</t>
  </si>
  <si>
    <t>Spreadable Acres</t>
  </si>
  <si>
    <t>Enter the Field ID, Spreadable Acres, N Leaching Index, and Legal Description for each field.</t>
  </si>
  <si>
    <t xml:space="preserve">       Spreadable acres - Field acreages reduced by any setbacks, buffers, or otherwise unspreadable areas. </t>
  </si>
  <si>
    <t xml:space="preserve">       N Leaching Index - Taken from the NRCS County Soil Leaching Potential Index Report.</t>
  </si>
  <si>
    <t xml:space="preserve">       Legal Description - Location in Quarter Section .</t>
  </si>
  <si>
    <t xml:space="preserve">Step 4:  </t>
  </si>
  <si>
    <t>Agronomic N</t>
  </si>
  <si>
    <t>1.5 x crop P removal</t>
  </si>
  <si>
    <t>1.0 x crop P removal</t>
  </si>
  <si>
    <t>Annual</t>
  </si>
  <si>
    <t>Rainfall</t>
  </si>
  <si>
    <t xml:space="preserve">  (Annual Rainfall taken from the NRCS AWMFH KSChapter 10, 2003)</t>
  </si>
  <si>
    <r>
      <t xml:space="preserve">     </t>
    </r>
    <r>
      <rPr>
        <b/>
        <sz val="12"/>
        <rFont val="Arial"/>
        <family val="2"/>
      </rPr>
      <t xml:space="preserve"> Field ID</t>
    </r>
  </si>
  <si>
    <r>
      <t xml:space="preserve">    </t>
    </r>
    <r>
      <rPr>
        <sz val="12"/>
        <rFont val="Arial"/>
        <family val="2"/>
      </rPr>
      <t xml:space="preserve">  (Note:  The Application Rate Limitation will be selected once the "INPUT" sheet has been filled out.)</t>
    </r>
  </si>
  <si>
    <r>
      <t xml:space="preserve">      N Leaching Index</t>
    </r>
    <r>
      <rPr>
        <sz val="12"/>
        <rFont val="Arial"/>
        <family val="2"/>
      </rPr>
      <t xml:space="preserve"> (Taken from the NRCS County Soil Leaching Potential Index Report.)</t>
    </r>
  </si>
  <si>
    <r>
      <t xml:space="preserve">      Spreadable Acres</t>
    </r>
    <r>
      <rPr>
        <sz val="12"/>
        <rFont val="Arial"/>
        <family val="2"/>
      </rPr>
      <t xml:space="preserve"> (Field acreages reduced by any setbacks, buffers, or otherwise unspreadable areas.)</t>
    </r>
  </si>
  <si>
    <t xml:space="preserve">Tabs listed at the bottom of spreadsheet are: </t>
  </si>
  <si>
    <t xml:space="preserve">      PPM - A chart showing the Soil Test P (ppm) change over the 5-year plan</t>
  </si>
  <si>
    <t>Enter the following information for each field you have included in the NUP:</t>
  </si>
  <si>
    <t>After all fields have been entered on this sheet, click on the "Sort" Button.  This will arrange all fields numerically &amp; alphabetically.</t>
  </si>
  <si>
    <t>Use Drop Down List on the INPUT sheet to enter "Field ID"</t>
  </si>
  <si>
    <t>After completing the INPUT sheet, select the Application Rate Limitation listed in cell H21 of the WORKSHEET sheet.</t>
  </si>
  <si>
    <t>Complete the FIELDS sheet.</t>
  </si>
  <si>
    <t>Make sure this FIELDS sheet is accurate before you complete the first INPUT sheet.  Any changes you make after running the program will not correct the changes backward to any field sheets completed previously.</t>
  </si>
  <si>
    <r>
      <t xml:space="preserve">     *INPUT -</t>
    </r>
    <r>
      <rPr>
        <sz val="12"/>
        <rFont val="Arial"/>
        <family val="2"/>
      </rPr>
      <t xml:space="preserve"> The sheet where information is entered for each field included in the NUP (Required by KDHE)</t>
    </r>
  </si>
  <si>
    <t xml:space="preserve">      WORKSHEET - Projects the 5-year cropping plan for the NUP (Required by KDHE)</t>
  </si>
  <si>
    <t xml:space="preserve">      S-M ANALYSIS - Soil &amp; manure analysis for each field &amp; facility in the NUP (Required by KDHE)</t>
  </si>
  <si>
    <r>
      <t xml:space="preserve">     *FIELDS - </t>
    </r>
    <r>
      <rPr>
        <sz val="12"/>
        <rFont val="Arial"/>
        <family val="2"/>
      </rPr>
      <t>Information which is used to complete the "INPUT" sheet (Required by KDHE)</t>
    </r>
  </si>
  <si>
    <t xml:space="preserve">      SOIL TEST P - A form used to formulate values for the program</t>
  </si>
  <si>
    <t xml:space="preserve">      MANURE - A form used for calculations</t>
  </si>
  <si>
    <r>
      <t xml:space="preserve">     *</t>
    </r>
    <r>
      <rPr>
        <b/>
        <sz val="12"/>
        <rFont val="Arial"/>
        <family val="2"/>
      </rPr>
      <t>REMOVAL -</t>
    </r>
    <r>
      <rPr>
        <sz val="12"/>
        <rFont val="Arial"/>
      </rPr>
      <t xml:space="preserve"> A list of crops and yield goals, with N and P</t>
    </r>
    <r>
      <rPr>
        <sz val="9"/>
        <rFont val="Arial"/>
      </rPr>
      <t>2</t>
    </r>
    <r>
      <rPr>
        <sz val="12"/>
        <rFont val="Arial"/>
      </rPr>
      <t>O</t>
    </r>
    <r>
      <rPr>
        <sz val="9"/>
        <rFont val="Arial"/>
      </rPr>
      <t>5</t>
    </r>
    <r>
      <rPr>
        <sz val="12"/>
        <rFont val="Arial"/>
      </rPr>
      <t xml:space="preserve"> removal &amp; N requirements for each crop (Required by KDHE)</t>
    </r>
  </si>
  <si>
    <r>
      <t xml:space="preserve">Green cells:  </t>
    </r>
    <r>
      <rPr>
        <sz val="12"/>
        <rFont val="Arial"/>
        <family val="2"/>
      </rPr>
      <t>Use the drop-down-list buttons for these cells to select the correct entry.</t>
    </r>
  </si>
  <si>
    <r>
      <t>Yellow cells:</t>
    </r>
    <r>
      <rPr>
        <sz val="12"/>
        <rFont val="Arial"/>
      </rPr>
      <t xml:space="preserve">  Use the keyboard to enter information for these cells.</t>
    </r>
  </si>
  <si>
    <t>Complete the INPUT sheet.</t>
  </si>
  <si>
    <r>
      <t xml:space="preserve">Date: </t>
    </r>
    <r>
      <rPr>
        <sz val="12"/>
        <rFont val="Arial"/>
        <family val="2"/>
      </rPr>
      <t xml:space="preserve"> Enter the date (MM/DD/YY) you are working on this form in cell L2.</t>
    </r>
  </si>
  <si>
    <r>
      <t>Facility Name:</t>
    </r>
    <r>
      <rPr>
        <sz val="12"/>
        <rFont val="Arial"/>
        <family val="2"/>
      </rPr>
      <t xml:space="preserve">  Enter the name of the facility (as listed on the KDHE Permit) in cell D5.</t>
    </r>
  </si>
  <si>
    <r>
      <t>County:</t>
    </r>
    <r>
      <rPr>
        <sz val="12"/>
        <rFont val="Arial"/>
      </rPr>
      <t xml:space="preserve">  Use the drop-down-list to select the county in which the field is located for cell C7.</t>
    </r>
  </si>
  <si>
    <r>
      <t>Field ID:</t>
    </r>
    <r>
      <rPr>
        <sz val="12"/>
        <rFont val="Arial"/>
      </rPr>
      <t xml:space="preserve">  Use the drop-down-list to select the correct Field ID for cell F7.</t>
    </r>
  </si>
  <si>
    <t>Spreadable Acres:</t>
  </si>
  <si>
    <t>Category:</t>
  </si>
  <si>
    <t>Rainfall:</t>
  </si>
  <si>
    <r>
      <t>Category:</t>
    </r>
    <r>
      <rPr>
        <sz val="12"/>
        <rFont val="Arial"/>
      </rPr>
      <t xml:space="preserve">  Use the drop-down-list to select the proper Category (1, 2, or 3) for cell E9.</t>
    </r>
  </si>
  <si>
    <t xml:space="preserve">          Category 2:    Less than 22" annual rainfall and greater than 5% field slope (any part of the field)</t>
  </si>
  <si>
    <t xml:space="preserve">          Category 1:    Less than 22" annual rainfall and less than 5% field slope</t>
  </si>
  <si>
    <t xml:space="preserve">          Category 2:    22" - 30" annual rainfall and less than 5% field slope</t>
  </si>
  <si>
    <t xml:space="preserve">          Category 3:    22" - 30" annual rainfall and greater than 5% field slope (any part of the field)</t>
  </si>
  <si>
    <t xml:space="preserve">          Category 3:    Over 30" annual rainfall and any slope</t>
  </si>
  <si>
    <r>
      <t xml:space="preserve">KDHE Permit Number:  </t>
    </r>
    <r>
      <rPr>
        <sz val="12"/>
        <rFont val="Arial"/>
        <family val="2"/>
      </rPr>
      <t>Enter the KDHE Permit Number in D14.</t>
    </r>
  </si>
  <si>
    <t>Estimated Annual Manure for Application (Tons or Gallons):</t>
  </si>
  <si>
    <t>ADDITIONAL SOIL ANALYSIS VALUES:</t>
  </si>
  <si>
    <t>Enter the 0 - 6 inch soil test results in ppm for copper (Cu) and zinc (Zn) into cells I7 and I8, respectively.</t>
  </si>
  <si>
    <r>
      <t xml:space="preserve">If soil cores were taken from 0 - 6 inches and </t>
    </r>
    <r>
      <rPr>
        <b/>
        <sz val="12"/>
        <rFont val="Arial"/>
        <family val="2"/>
      </rPr>
      <t>6 - 24</t>
    </r>
    <r>
      <rPr>
        <sz val="12"/>
        <rFont val="Arial"/>
        <family val="2"/>
      </rPr>
      <t xml:space="preserve"> inches, enter the 0 - 6 inch soil test result for chloride (Cl) in ppm into cell I9 and enter the 6 - 24 inch soil test result for chloride (Cl) in ppm into cell I11.</t>
    </r>
  </si>
  <si>
    <r>
      <t xml:space="preserve">Previous Year:  </t>
    </r>
    <r>
      <rPr>
        <sz val="12"/>
        <rFont val="Arial"/>
        <family val="2"/>
      </rPr>
      <t>Enter the year prior to the first year of the plan into cell K7.  For example, if you completing a plan for the period from 2010 through 2014, enter 2009.</t>
    </r>
  </si>
  <si>
    <r>
      <t xml:space="preserve">Crop:  </t>
    </r>
    <r>
      <rPr>
        <sz val="12"/>
        <rFont val="Arial"/>
        <family val="2"/>
      </rPr>
      <t>Use the drop-down-list to select the crop that was grown in each corresponding year for cells L7 - L12.</t>
    </r>
  </si>
  <si>
    <r>
      <t xml:space="preserve">Yield:  </t>
    </r>
    <r>
      <rPr>
        <sz val="12"/>
        <rFont val="Arial"/>
        <family val="2"/>
      </rPr>
      <t>Enter the yield goal for each crop in cells M8 - M12.</t>
    </r>
  </si>
  <si>
    <r>
      <t>% of Max Applied:</t>
    </r>
    <r>
      <rPr>
        <sz val="12"/>
        <rFont val="Arial"/>
        <family val="2"/>
      </rPr>
      <t xml:space="preserve">  Enter 100% in cells N8 - N12 to show (on the WORKSHEET sheet) the maximum quantity of manure that can be applied on this field in each year of the five-year plan.</t>
    </r>
  </si>
  <si>
    <r>
      <t>Organic-N Value:</t>
    </r>
    <r>
      <rPr>
        <sz val="12"/>
        <rFont val="Arial"/>
        <family val="2"/>
      </rPr>
      <t xml:space="preserve">  Enter the organic-N value (in ppm) from the manure analysis for manure applied to this field during the year shown to the left for cells C21 and C22.</t>
    </r>
  </si>
  <si>
    <r>
      <t xml:space="preserve">Soil Type:  </t>
    </r>
    <r>
      <rPr>
        <sz val="12"/>
        <rFont val="Arial"/>
      </rPr>
      <t xml:space="preserve">Enter an "x" in the cell ( I19 or I20) which most closely represents the soil type of this field.  </t>
    </r>
    <r>
      <rPr>
        <b/>
        <sz val="12"/>
        <rFont val="Arial"/>
        <family val="2"/>
      </rPr>
      <t xml:space="preserve">Note:  </t>
    </r>
    <r>
      <rPr>
        <sz val="12"/>
        <rFont val="Arial"/>
      </rPr>
      <t>If more than one cell is checked a RED WARNING will appear.</t>
    </r>
  </si>
  <si>
    <t>gal or ton / field</t>
  </si>
  <si>
    <t>Yield Goal</t>
  </si>
  <si>
    <t>yield unit / acre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</si>
</sst>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mm/dd/yy"/>
    <numFmt numFmtId="166" formatCode="\(#\)"/>
    <numFmt numFmtId="167" formatCode="0_);[Red]\(0\)"/>
  </numFmts>
  <fonts count="32" x14ac:knownFonts="1">
    <font>
      <sz val="12"/>
      <name val="Arial"/>
    </font>
    <font>
      <sz val="10"/>
      <name val="Arial"/>
      <family val="2"/>
    </font>
    <font>
      <b/>
      <sz val="10"/>
      <name val="Arial"/>
      <family val="2"/>
    </font>
    <font>
      <b/>
      <sz val="10"/>
      <color indexed="12"/>
      <name val="Arial"/>
      <family val="2"/>
    </font>
    <font>
      <b/>
      <sz val="14"/>
      <name val="Arial"/>
      <family val="2"/>
    </font>
    <font>
      <i/>
      <sz val="9.5"/>
      <name val="Arial"/>
      <family val="2"/>
    </font>
    <font>
      <b/>
      <sz val="12"/>
      <name val="Arial"/>
      <family val="2"/>
    </font>
    <font>
      <sz val="9.5"/>
      <name val="Arial"/>
      <family val="2"/>
    </font>
    <font>
      <b/>
      <sz val="10"/>
      <color indexed="10"/>
      <name val="Arial"/>
      <family val="2"/>
    </font>
    <font>
      <sz val="10"/>
      <color indexed="81"/>
      <name val="Tahoma"/>
      <family val="2"/>
    </font>
    <font>
      <b/>
      <sz val="10"/>
      <color indexed="81"/>
      <name val="Tahoma"/>
      <family val="2"/>
    </font>
    <font>
      <b/>
      <sz val="8"/>
      <color indexed="81"/>
      <name val="Tahoma"/>
      <family val="2"/>
    </font>
    <font>
      <sz val="8"/>
      <color indexed="81"/>
      <name val="Tahoma"/>
      <family val="2"/>
    </font>
    <font>
      <sz val="10"/>
      <color indexed="10"/>
      <name val="Arial"/>
      <family val="2"/>
    </font>
    <font>
      <sz val="10"/>
      <color indexed="8"/>
      <name val="Arial"/>
    </font>
    <font>
      <b/>
      <sz val="10"/>
      <color indexed="9"/>
      <name val="Arial"/>
      <family val="2"/>
    </font>
    <font>
      <b/>
      <sz val="8"/>
      <name val="Arial"/>
      <family val="2"/>
    </font>
    <font>
      <sz val="12"/>
      <color indexed="12"/>
      <name val="Arial"/>
      <family val="2"/>
    </font>
    <font>
      <sz val="12"/>
      <name val="Arial"/>
      <family val="2"/>
    </font>
    <font>
      <sz val="10"/>
      <name val="Arial"/>
    </font>
    <font>
      <b/>
      <sz val="16"/>
      <name val="Arial"/>
      <family val="2"/>
    </font>
    <font>
      <b/>
      <sz val="8"/>
      <color indexed="10"/>
      <name val="Arial"/>
      <family val="2"/>
    </font>
    <font>
      <sz val="12"/>
      <name val="Agency FB"/>
      <family val="2"/>
    </font>
    <font>
      <b/>
      <u/>
      <sz val="12"/>
      <name val="Arial"/>
      <family val="2"/>
    </font>
    <font>
      <sz val="12"/>
      <name val="Arial"/>
    </font>
    <font>
      <sz val="9"/>
      <name val="Arial"/>
    </font>
    <font>
      <b/>
      <vertAlign val="subscript"/>
      <sz val="12"/>
      <name val="Arial"/>
      <family val="2"/>
    </font>
    <font>
      <vertAlign val="subscript"/>
      <sz val="12"/>
      <name val="Arial"/>
      <family val="2"/>
    </font>
    <font>
      <vertAlign val="subscript"/>
      <sz val="10"/>
      <color indexed="81"/>
      <name val="Tahoma"/>
      <family val="2"/>
    </font>
    <font>
      <u/>
      <sz val="12"/>
      <name val="Arial"/>
    </font>
    <font>
      <b/>
      <u/>
      <sz val="12"/>
      <name val="Arial"/>
    </font>
    <font>
      <b/>
      <sz val="12"/>
      <color rgb="FFFF0000"/>
      <name val="Arial"/>
      <family val="2"/>
    </font>
  </fonts>
  <fills count="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9"/>
        <bgColor indexed="64"/>
      </patternFill>
    </fill>
  </fills>
  <borders count="182">
    <border>
      <left/>
      <right/>
      <top/>
      <bottom/>
      <diagonal/>
    </border>
    <border>
      <left style="thin">
        <color indexed="64"/>
      </left>
      <right style="double">
        <color indexed="64"/>
      </right>
      <top style="thin">
        <color indexed="64"/>
      </top>
      <bottom style="thin">
        <color indexed="64"/>
      </bottom>
      <diagonal/>
    </border>
    <border>
      <left style="double">
        <color indexed="64"/>
      </left>
      <right/>
      <top/>
      <bottom/>
      <diagonal/>
    </border>
    <border>
      <left style="double">
        <color indexed="64"/>
      </left>
      <right/>
      <top style="thin">
        <color indexed="64"/>
      </top>
      <bottom style="thin">
        <color indexed="64"/>
      </bottom>
      <diagonal/>
    </border>
    <border>
      <left style="double">
        <color indexed="64"/>
      </left>
      <right/>
      <top/>
      <bottom style="double">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medium">
        <color indexed="64"/>
      </left>
      <right style="double">
        <color indexed="64"/>
      </right>
      <top style="double">
        <color indexed="64"/>
      </top>
      <bottom style="thin">
        <color indexed="64"/>
      </bottom>
      <diagonal/>
    </border>
    <border>
      <left style="thin">
        <color indexed="64"/>
      </left>
      <right style="double">
        <color indexed="64"/>
      </right>
      <top/>
      <bottom style="thin">
        <color indexed="64"/>
      </bottom>
      <diagonal/>
    </border>
    <border>
      <left style="double">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double">
        <color indexed="64"/>
      </right>
      <top style="thin">
        <color indexed="64"/>
      </top>
      <bottom style="medium">
        <color indexed="64"/>
      </bottom>
      <diagonal/>
    </border>
    <border>
      <left style="double">
        <color indexed="64"/>
      </left>
      <right/>
      <top/>
      <bottom style="thin">
        <color indexed="64"/>
      </bottom>
      <diagonal/>
    </border>
    <border>
      <left style="medium">
        <color indexed="64"/>
      </left>
      <right style="double">
        <color indexed="64"/>
      </right>
      <top/>
      <bottom style="thin">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right style="double">
        <color indexed="64"/>
      </right>
      <top style="double">
        <color indexed="64"/>
      </top>
      <bottom style="medium">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double">
        <color indexed="64"/>
      </left>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right style="double">
        <color indexed="64"/>
      </right>
      <top/>
      <bottom/>
      <diagonal/>
    </border>
    <border>
      <left/>
      <right style="double">
        <color indexed="64"/>
      </right>
      <top style="thin">
        <color indexed="64"/>
      </top>
      <bottom style="thin">
        <color indexed="64"/>
      </bottom>
      <diagonal/>
    </border>
    <border>
      <left/>
      <right style="double">
        <color indexed="64"/>
      </right>
      <top/>
      <bottom style="medium">
        <color indexed="64"/>
      </bottom>
      <diagonal/>
    </border>
    <border>
      <left/>
      <right/>
      <top/>
      <bottom style="double">
        <color indexed="64"/>
      </bottom>
      <diagonal/>
    </border>
    <border>
      <left style="thin">
        <color indexed="64"/>
      </left>
      <right style="double">
        <color indexed="64"/>
      </right>
      <top style="medium">
        <color indexed="64"/>
      </top>
      <bottom style="double">
        <color indexed="64"/>
      </bottom>
      <diagonal/>
    </border>
    <border>
      <left style="thin">
        <color indexed="64"/>
      </left>
      <right style="thin">
        <color indexed="64"/>
      </right>
      <top/>
      <bottom style="double">
        <color indexed="64"/>
      </bottom>
      <diagonal/>
    </border>
    <border>
      <left style="thin">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double">
        <color indexed="64"/>
      </left>
      <right/>
      <top style="medium">
        <color indexed="64"/>
      </top>
      <bottom style="medium">
        <color indexed="64"/>
      </bottom>
      <diagonal/>
    </border>
    <border>
      <left style="double">
        <color indexed="64"/>
      </left>
      <right/>
      <top/>
      <bottom style="medium">
        <color indexed="64"/>
      </bottom>
      <diagonal/>
    </border>
    <border>
      <left/>
      <right style="thin">
        <color indexed="64"/>
      </right>
      <top style="thin">
        <color indexed="64"/>
      </top>
      <bottom style="medium">
        <color indexed="64"/>
      </bottom>
      <diagonal/>
    </border>
    <border>
      <left/>
      <right style="double">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double">
        <color indexed="64"/>
      </right>
      <top style="medium">
        <color indexed="64"/>
      </top>
      <bottom style="double">
        <color indexed="64"/>
      </bottom>
      <diagonal/>
    </border>
    <border>
      <left style="medium">
        <color indexed="64"/>
      </left>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bottom/>
      <diagonal/>
    </border>
    <border>
      <left style="thick">
        <color indexed="64"/>
      </left>
      <right/>
      <top style="thick">
        <color indexed="64"/>
      </top>
      <bottom/>
      <diagonal/>
    </border>
    <border>
      <left style="thick">
        <color indexed="64"/>
      </left>
      <right/>
      <top/>
      <bottom/>
      <diagonal/>
    </border>
    <border>
      <left style="thick">
        <color indexed="64"/>
      </left>
      <right style="thick">
        <color indexed="64"/>
      </right>
      <top style="thin">
        <color indexed="64"/>
      </top>
      <bottom style="thin">
        <color indexed="64"/>
      </bottom>
      <diagonal/>
    </border>
    <border>
      <left style="thick">
        <color indexed="64"/>
      </left>
      <right/>
      <top/>
      <bottom style="thick">
        <color indexed="64"/>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style="thick">
        <color indexed="64"/>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top/>
      <bottom style="thick">
        <color indexed="64"/>
      </bottom>
      <diagonal/>
    </border>
    <border>
      <left style="thick">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double">
        <color indexed="64"/>
      </left>
      <right/>
      <top style="double">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double">
        <color indexed="64"/>
      </top>
      <bottom/>
      <diagonal/>
    </border>
    <border>
      <left style="thin">
        <color indexed="64"/>
      </left>
      <right style="thin">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top style="medium">
        <color indexed="64"/>
      </top>
      <bottom/>
      <diagonal/>
    </border>
    <border>
      <left style="double">
        <color indexed="64"/>
      </left>
      <right/>
      <top style="medium">
        <color indexed="64"/>
      </top>
      <bottom style="thick">
        <color indexed="64"/>
      </bottom>
      <diagonal/>
    </border>
    <border>
      <left style="thin">
        <color indexed="64"/>
      </left>
      <right style="double">
        <color indexed="64"/>
      </right>
      <top/>
      <bottom/>
      <diagonal/>
    </border>
    <border>
      <left/>
      <right style="double">
        <color indexed="64"/>
      </right>
      <top style="double">
        <color indexed="64"/>
      </top>
      <bottom/>
      <diagonal/>
    </border>
    <border>
      <left/>
      <right style="medium">
        <color indexed="64"/>
      </right>
      <top style="double">
        <color indexed="64"/>
      </top>
      <bottom/>
      <diagonal/>
    </border>
    <border>
      <left style="medium">
        <color indexed="64"/>
      </left>
      <right style="medium">
        <color indexed="64"/>
      </right>
      <top style="double">
        <color indexed="64"/>
      </top>
      <bottom style="medium">
        <color indexed="64"/>
      </bottom>
      <diagonal/>
    </border>
    <border>
      <left style="thick">
        <color indexed="64"/>
      </left>
      <right/>
      <top style="thick">
        <color indexed="64"/>
      </top>
      <bottom style="double">
        <color indexed="64"/>
      </bottom>
      <diagonal/>
    </border>
    <border>
      <left/>
      <right/>
      <top style="thick">
        <color indexed="64"/>
      </top>
      <bottom style="double">
        <color indexed="64"/>
      </bottom>
      <diagonal/>
    </border>
    <border>
      <left/>
      <right style="thick">
        <color indexed="64"/>
      </right>
      <top style="thick">
        <color indexed="64"/>
      </top>
      <bottom style="double">
        <color indexed="64"/>
      </bottom>
      <diagonal/>
    </border>
    <border>
      <left style="medium">
        <color indexed="64"/>
      </left>
      <right style="thick">
        <color indexed="64"/>
      </right>
      <top/>
      <bottom/>
      <diagonal/>
    </border>
    <border>
      <left style="double">
        <color indexed="64"/>
      </left>
      <right/>
      <top style="medium">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thick">
        <color indexed="64"/>
      </right>
      <top/>
      <bottom style="medium">
        <color indexed="64"/>
      </bottom>
      <diagonal/>
    </border>
    <border>
      <left style="thick">
        <color indexed="64"/>
      </left>
      <right/>
      <top style="medium">
        <color indexed="64"/>
      </top>
      <bottom style="thick">
        <color indexed="64"/>
      </bottom>
      <diagonal/>
    </border>
    <border>
      <left/>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style="thin">
        <color indexed="64"/>
      </left>
      <right style="double">
        <color indexed="64"/>
      </right>
      <top style="medium">
        <color indexed="64"/>
      </top>
      <bottom style="thick">
        <color indexed="64"/>
      </bottom>
      <diagonal/>
    </border>
    <border>
      <left style="thick">
        <color indexed="64"/>
      </left>
      <right/>
      <top style="medium">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style="medium">
        <color indexed="64"/>
      </right>
      <top/>
      <bottom style="double">
        <color indexed="64"/>
      </bottom>
      <diagonal/>
    </border>
    <border>
      <left style="medium">
        <color indexed="64"/>
      </left>
      <right style="double">
        <color indexed="64"/>
      </right>
      <top style="medium">
        <color indexed="64"/>
      </top>
      <bottom style="thin">
        <color indexed="64"/>
      </bottom>
      <diagonal/>
    </border>
    <border>
      <left style="medium">
        <color indexed="64"/>
      </left>
      <right style="double">
        <color indexed="64"/>
      </right>
      <top/>
      <bottom style="medium">
        <color indexed="64"/>
      </bottom>
      <diagonal/>
    </border>
    <border>
      <left style="medium">
        <color indexed="64"/>
      </left>
      <right style="double">
        <color indexed="64"/>
      </right>
      <top/>
      <bottom style="double">
        <color indexed="64"/>
      </bottom>
      <diagonal/>
    </border>
    <border>
      <left style="double">
        <color indexed="64"/>
      </left>
      <right style="double">
        <color indexed="64"/>
      </right>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bottom style="double">
        <color indexed="64"/>
      </bottom>
      <diagonal/>
    </border>
    <border>
      <left/>
      <right style="double">
        <color indexed="64"/>
      </right>
      <top/>
      <bottom style="thin">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thin">
        <color indexed="64"/>
      </left>
      <right style="medium">
        <color indexed="64"/>
      </right>
      <top style="medium">
        <color indexed="64"/>
      </top>
      <bottom style="double">
        <color indexed="64"/>
      </bottom>
      <diagonal/>
    </border>
    <border>
      <left/>
      <right style="double">
        <color indexed="64"/>
      </right>
      <top style="medium">
        <color indexed="64"/>
      </top>
      <bottom style="thin">
        <color indexed="64"/>
      </bottom>
      <diagonal/>
    </border>
    <border>
      <left style="thin">
        <color indexed="64"/>
      </left>
      <right/>
      <top style="medium">
        <color indexed="64"/>
      </top>
      <bottom style="thin">
        <color indexed="64"/>
      </bottom>
      <diagonal/>
    </border>
    <border>
      <left style="double">
        <color indexed="64"/>
      </left>
      <right style="thin">
        <color indexed="64"/>
      </right>
      <top style="thin">
        <color indexed="64"/>
      </top>
      <bottom style="medium">
        <color indexed="64"/>
      </bottom>
      <diagonal/>
    </border>
    <border>
      <left style="thin">
        <color indexed="64"/>
      </left>
      <right style="double">
        <color indexed="64"/>
      </right>
      <top style="thin">
        <color indexed="64"/>
      </top>
      <bottom style="medium">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diagonal/>
    </border>
    <border>
      <left style="double">
        <color indexed="64"/>
      </left>
      <right style="medium">
        <color indexed="64"/>
      </right>
      <top style="thin">
        <color indexed="64"/>
      </top>
      <bottom style="double">
        <color indexed="64"/>
      </bottom>
      <diagonal/>
    </border>
    <border diagonalUp="1" diagonalDown="1">
      <left style="double">
        <color indexed="64"/>
      </left>
      <right/>
      <top style="medium">
        <color indexed="64"/>
      </top>
      <bottom style="double">
        <color indexed="64"/>
      </bottom>
      <diagonal style="thin">
        <color indexed="64"/>
      </diagonal>
    </border>
    <border diagonalUp="1" diagonalDown="1">
      <left/>
      <right/>
      <top style="medium">
        <color indexed="64"/>
      </top>
      <bottom style="double">
        <color indexed="64"/>
      </bottom>
      <diagonal style="thin">
        <color indexed="64"/>
      </diagonal>
    </border>
    <border diagonalUp="1" diagonalDown="1">
      <left/>
      <right style="thin">
        <color indexed="64"/>
      </right>
      <top style="medium">
        <color indexed="64"/>
      </top>
      <bottom style="double">
        <color indexed="64"/>
      </bottom>
      <diagonal style="thin">
        <color indexed="64"/>
      </diagonal>
    </border>
    <border>
      <left style="double">
        <color indexed="64"/>
      </left>
      <right style="medium">
        <color indexed="64"/>
      </right>
      <top style="medium">
        <color indexed="64"/>
      </top>
      <bottom style="thin">
        <color indexed="64"/>
      </bottom>
      <diagonal/>
    </border>
    <border>
      <left style="double">
        <color indexed="64"/>
      </left>
      <right style="medium">
        <color indexed="64"/>
      </right>
      <top/>
      <bottom style="double">
        <color indexed="64"/>
      </bottom>
      <diagonal/>
    </border>
    <border>
      <left style="double">
        <color indexed="64"/>
      </left>
      <right style="thin">
        <color indexed="64"/>
      </right>
      <top/>
      <bottom style="medium">
        <color indexed="64"/>
      </bottom>
      <diagonal/>
    </border>
    <border>
      <left style="thin">
        <color indexed="64"/>
      </left>
      <right style="double">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double">
        <color indexed="64"/>
      </bottom>
      <diagonal/>
    </border>
    <border>
      <left/>
      <right style="double">
        <color indexed="64"/>
      </right>
      <top style="medium">
        <color indexed="64"/>
      </top>
      <bottom/>
      <diagonal/>
    </border>
    <border>
      <left style="medium">
        <color indexed="64"/>
      </left>
      <right/>
      <top style="medium">
        <color indexed="64"/>
      </top>
      <bottom style="double">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medium">
        <color indexed="64"/>
      </right>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14" fillId="0" borderId="0"/>
    <xf numFmtId="0" fontId="19" fillId="0" borderId="0"/>
  </cellStyleXfs>
  <cellXfs count="612">
    <xf numFmtId="0" fontId="0" fillId="0" borderId="0" xfId="0" applyAlignment="1"/>
    <xf numFmtId="164" fontId="2" fillId="0" borderId="1" xfId="0" applyNumberFormat="1" applyFont="1" applyFill="1" applyBorder="1" applyAlignment="1" applyProtection="1">
      <alignment horizontal="center"/>
      <protection hidden="1"/>
    </xf>
    <xf numFmtId="0" fontId="2" fillId="0" borderId="2" xfId="0" applyFont="1" applyFill="1" applyBorder="1" applyAlignment="1" applyProtection="1">
      <alignment horizontal="center"/>
      <protection hidden="1"/>
    </xf>
    <xf numFmtId="0" fontId="2" fillId="0" borderId="3" xfId="0" applyFont="1" applyFill="1" applyBorder="1" applyAlignment="1" applyProtection="1">
      <alignment horizontal="center"/>
      <protection hidden="1"/>
    </xf>
    <xf numFmtId="0" fontId="2" fillId="0" borderId="4" xfId="0" applyFont="1" applyFill="1" applyBorder="1" applyAlignment="1" applyProtection="1">
      <alignment horizontal="center"/>
      <protection hidden="1"/>
    </xf>
    <xf numFmtId="0" fontId="1" fillId="0" borderId="5" xfId="0" applyFont="1" applyBorder="1" applyAlignment="1" applyProtection="1">
      <alignment horizontal="center" vertical="center"/>
      <protection hidden="1"/>
    </xf>
    <xf numFmtId="0" fontId="1" fillId="0" borderId="6" xfId="0" quotePrefix="1" applyFont="1" applyBorder="1" applyAlignment="1" applyProtection="1">
      <alignment horizontal="center" vertical="center"/>
      <protection hidden="1"/>
    </xf>
    <xf numFmtId="0" fontId="2" fillId="0" borderId="0" xfId="0" applyFont="1" applyBorder="1" applyAlignment="1" applyProtection="1">
      <alignment horizontal="center"/>
      <protection hidden="1"/>
    </xf>
    <xf numFmtId="0" fontId="2" fillId="0" borderId="7" xfId="0" applyFont="1" applyBorder="1" applyAlignment="1" applyProtection="1">
      <alignment horizontal="center"/>
      <protection hidden="1"/>
    </xf>
    <xf numFmtId="0" fontId="5" fillId="0" borderId="7" xfId="0" applyFont="1" applyBorder="1" applyAlignment="1" applyProtection="1">
      <protection hidden="1"/>
    </xf>
    <xf numFmtId="0" fontId="5" fillId="0" borderId="0" xfId="0" applyFont="1" applyBorder="1" applyAlignment="1" applyProtection="1">
      <protection hidden="1"/>
    </xf>
    <xf numFmtId="0" fontId="5" fillId="0" borderId="8" xfId="0" applyFont="1" applyBorder="1" applyAlignment="1" applyProtection="1">
      <protection hidden="1"/>
    </xf>
    <xf numFmtId="0" fontId="2" fillId="0" borderId="9" xfId="0" applyFont="1" applyBorder="1" applyAlignment="1" applyProtection="1">
      <alignment horizontal="center" vertical="center"/>
      <protection hidden="1"/>
    </xf>
    <xf numFmtId="0" fontId="2" fillId="0" borderId="10" xfId="0" quotePrefix="1" applyFont="1" applyBorder="1" applyAlignment="1" applyProtection="1">
      <alignment horizontal="center" vertical="center"/>
      <protection hidden="1"/>
    </xf>
    <xf numFmtId="0" fontId="2" fillId="0" borderId="11" xfId="0" applyFont="1" applyBorder="1" applyAlignment="1" applyProtection="1">
      <alignment horizontal="center" vertical="center"/>
      <protection hidden="1"/>
    </xf>
    <xf numFmtId="0" fontId="2" fillId="0" borderId="10" xfId="0" applyFont="1" applyBorder="1" applyAlignment="1" applyProtection="1">
      <alignment horizontal="center" vertical="center"/>
      <protection hidden="1"/>
    </xf>
    <xf numFmtId="164" fontId="2" fillId="0" borderId="12" xfId="0" applyNumberFormat="1" applyFont="1" applyBorder="1" applyAlignment="1" applyProtection="1">
      <alignment horizontal="center" vertical="center"/>
      <protection hidden="1"/>
    </xf>
    <xf numFmtId="164" fontId="2" fillId="0" borderId="13" xfId="0" applyNumberFormat="1" applyFont="1" applyBorder="1" applyAlignment="1" applyProtection="1">
      <alignment horizontal="center" vertical="center"/>
      <protection hidden="1"/>
    </xf>
    <xf numFmtId="2" fontId="2" fillId="0" borderId="11" xfId="0" applyNumberFormat="1" applyFont="1" applyBorder="1" applyAlignment="1" applyProtection="1">
      <alignment horizontal="center" vertical="center"/>
      <protection hidden="1"/>
    </xf>
    <xf numFmtId="2" fontId="2" fillId="0" borderId="10" xfId="0" applyNumberFormat="1" applyFont="1" applyBorder="1" applyAlignment="1" applyProtection="1">
      <alignment horizontal="center" vertical="center"/>
      <protection hidden="1"/>
    </xf>
    <xf numFmtId="3" fontId="2" fillId="0" borderId="14" xfId="0" applyNumberFormat="1" applyFont="1" applyBorder="1" applyAlignment="1" applyProtection="1">
      <alignment horizontal="center" vertical="center"/>
      <protection hidden="1"/>
    </xf>
    <xf numFmtId="0" fontId="2" fillId="0" borderId="15" xfId="0" applyFont="1" applyBorder="1" applyAlignment="1" applyProtection="1">
      <alignment horizontal="center" vertical="center"/>
      <protection hidden="1"/>
    </xf>
    <xf numFmtId="0" fontId="2" fillId="0" borderId="16" xfId="0" quotePrefix="1" applyFont="1" applyBorder="1" applyAlignment="1" applyProtection="1">
      <alignment horizontal="center" vertical="center"/>
      <protection hidden="1"/>
    </xf>
    <xf numFmtId="0" fontId="2" fillId="0" borderId="17" xfId="0" applyFont="1" applyBorder="1" applyAlignment="1" applyProtection="1">
      <alignment horizontal="center" vertical="center"/>
      <protection hidden="1"/>
    </xf>
    <xf numFmtId="0" fontId="2" fillId="0" borderId="16" xfId="0" applyFont="1" applyBorder="1" applyAlignment="1" applyProtection="1">
      <alignment horizontal="center" vertical="center"/>
      <protection hidden="1"/>
    </xf>
    <xf numFmtId="164" fontId="2" fillId="0" borderId="18" xfId="0" applyNumberFormat="1" applyFont="1" applyBorder="1" applyAlignment="1" applyProtection="1">
      <alignment horizontal="center" vertical="center"/>
      <protection hidden="1"/>
    </xf>
    <xf numFmtId="164" fontId="2" fillId="0" borderId="19" xfId="0" applyNumberFormat="1" applyFont="1" applyBorder="1" applyAlignment="1" applyProtection="1">
      <alignment horizontal="center" vertical="center"/>
      <protection hidden="1"/>
    </xf>
    <xf numFmtId="2" fontId="2" fillId="0" borderId="17" xfId="0" applyNumberFormat="1" applyFont="1" applyBorder="1" applyAlignment="1" applyProtection="1">
      <alignment horizontal="center" vertical="center"/>
      <protection hidden="1"/>
    </xf>
    <xf numFmtId="2" fontId="2" fillId="0" borderId="16" xfId="0" applyNumberFormat="1" applyFont="1" applyBorder="1" applyAlignment="1" applyProtection="1">
      <alignment horizontal="center" vertical="center"/>
      <protection hidden="1"/>
    </xf>
    <xf numFmtId="3" fontId="2" fillId="0" borderId="20" xfId="0" applyNumberFormat="1" applyFont="1" applyBorder="1" applyAlignment="1" applyProtection="1">
      <alignment horizontal="center" vertical="center"/>
      <protection hidden="1"/>
    </xf>
    <xf numFmtId="0" fontId="2" fillId="0" borderId="21" xfId="0" applyFont="1" applyBorder="1" applyAlignment="1" applyProtection="1">
      <alignment horizontal="center" vertical="center"/>
      <protection hidden="1"/>
    </xf>
    <xf numFmtId="0" fontId="2" fillId="0" borderId="0" xfId="0" applyFont="1" applyBorder="1" applyAlignment="1" applyProtection="1">
      <alignment horizontal="center" vertical="center"/>
      <protection hidden="1"/>
    </xf>
    <xf numFmtId="164" fontId="2" fillId="0" borderId="22" xfId="0" applyNumberFormat="1" applyFont="1" applyBorder="1" applyAlignment="1" applyProtection="1">
      <alignment horizontal="center" vertical="center"/>
      <protection hidden="1"/>
    </xf>
    <xf numFmtId="164" fontId="2" fillId="0" borderId="23" xfId="0" applyNumberFormat="1" applyFont="1" applyBorder="1" applyAlignment="1" applyProtection="1">
      <alignment horizontal="center" vertical="center"/>
      <protection hidden="1"/>
    </xf>
    <xf numFmtId="2" fontId="2" fillId="0" borderId="0" xfId="0" applyNumberFormat="1" applyFont="1" applyBorder="1" applyAlignment="1" applyProtection="1">
      <alignment horizontal="center" vertical="center"/>
      <protection hidden="1"/>
    </xf>
    <xf numFmtId="2" fontId="2" fillId="0" borderId="7" xfId="0" applyNumberFormat="1" applyFont="1" applyBorder="1" applyAlignment="1" applyProtection="1">
      <alignment horizontal="center" vertical="center"/>
      <protection hidden="1"/>
    </xf>
    <xf numFmtId="3" fontId="2" fillId="0" borderId="8" xfId="0" applyNumberFormat="1" applyFont="1" applyBorder="1" applyAlignment="1" applyProtection="1">
      <alignment horizontal="center" vertical="center"/>
      <protection hidden="1"/>
    </xf>
    <xf numFmtId="0" fontId="2" fillId="0" borderId="5" xfId="0" applyFont="1" applyBorder="1" applyAlignment="1" applyProtection="1">
      <alignment horizontal="center" vertical="center"/>
      <protection hidden="1"/>
    </xf>
    <xf numFmtId="0" fontId="2" fillId="0" borderId="24" xfId="0" quotePrefix="1" applyFont="1" applyBorder="1" applyAlignment="1" applyProtection="1">
      <alignment horizontal="center" vertical="center"/>
      <protection hidden="1"/>
    </xf>
    <xf numFmtId="0" fontId="2" fillId="0" borderId="25" xfId="0" applyFont="1" applyBorder="1" applyAlignment="1" applyProtection="1">
      <alignment horizontal="center" vertical="center"/>
      <protection hidden="1"/>
    </xf>
    <xf numFmtId="164" fontId="2" fillId="0" borderId="26" xfId="0" applyNumberFormat="1" applyFont="1" applyBorder="1" applyAlignment="1" applyProtection="1">
      <alignment horizontal="center" vertical="center"/>
      <protection hidden="1"/>
    </xf>
    <xf numFmtId="0" fontId="2" fillId="0" borderId="24" xfId="0" applyFont="1" applyBorder="1" applyAlignment="1" applyProtection="1">
      <alignment horizontal="center" vertical="center"/>
      <protection hidden="1"/>
    </xf>
    <xf numFmtId="164" fontId="2" fillId="0" borderId="27" xfId="0" applyNumberFormat="1" applyFont="1" applyBorder="1" applyAlignment="1" applyProtection="1">
      <alignment horizontal="center" vertical="center"/>
      <protection hidden="1"/>
    </xf>
    <xf numFmtId="2" fontId="2" fillId="0" borderId="25" xfId="0" applyNumberFormat="1" applyFont="1" applyBorder="1" applyAlignment="1" applyProtection="1">
      <alignment horizontal="center" vertical="center"/>
      <protection hidden="1"/>
    </xf>
    <xf numFmtId="2" fontId="2" fillId="0" borderId="6" xfId="0" applyNumberFormat="1" applyFont="1" applyBorder="1" applyAlignment="1" applyProtection="1">
      <alignment horizontal="center" vertical="center"/>
      <protection hidden="1"/>
    </xf>
    <xf numFmtId="3" fontId="2" fillId="0" borderId="28" xfId="0" applyNumberFormat="1" applyFont="1" applyBorder="1" applyAlignment="1" applyProtection="1">
      <alignment horizontal="center" vertical="center"/>
      <protection hidden="1"/>
    </xf>
    <xf numFmtId="0" fontId="2" fillId="0" borderId="29" xfId="0" quotePrefix="1" applyFont="1" applyBorder="1" applyAlignment="1" applyProtection="1">
      <alignment horizontal="center" vertical="center"/>
      <protection hidden="1"/>
    </xf>
    <xf numFmtId="0" fontId="2" fillId="0" borderId="30" xfId="0" applyFont="1" applyBorder="1" applyAlignment="1" applyProtection="1">
      <alignment horizontal="center" vertical="center"/>
      <protection hidden="1"/>
    </xf>
    <xf numFmtId="0" fontId="2" fillId="0" borderId="31" xfId="0" applyFont="1" applyBorder="1" applyAlignment="1" applyProtection="1">
      <alignment horizontal="center" vertical="center"/>
      <protection hidden="1"/>
    </xf>
    <xf numFmtId="0" fontId="2" fillId="0" borderId="32" xfId="0" applyFont="1" applyBorder="1" applyAlignment="1" applyProtection="1">
      <alignment horizontal="center" vertical="center"/>
      <protection hidden="1"/>
    </xf>
    <xf numFmtId="0" fontId="2" fillId="0" borderId="20" xfId="0" applyFont="1" applyBorder="1" applyAlignment="1" applyProtection="1">
      <alignment horizontal="center" vertical="center"/>
      <protection hidden="1"/>
    </xf>
    <xf numFmtId="0" fontId="2" fillId="0" borderId="33" xfId="0" applyFont="1" applyBorder="1" applyAlignment="1" applyProtection="1">
      <alignment horizontal="center" vertical="center"/>
      <protection hidden="1"/>
    </xf>
    <xf numFmtId="0" fontId="2" fillId="0" borderId="34" xfId="0" applyFont="1" applyBorder="1" applyAlignment="1" applyProtection="1">
      <alignment horizontal="center" vertical="center"/>
      <protection hidden="1"/>
    </xf>
    <xf numFmtId="0" fontId="2" fillId="0" borderId="35" xfId="0" applyFont="1" applyBorder="1" applyAlignment="1" applyProtection="1">
      <alignment horizontal="center" vertical="center"/>
      <protection hidden="1"/>
    </xf>
    <xf numFmtId="164" fontId="2" fillId="0" borderId="0" xfId="0" applyNumberFormat="1" applyFont="1" applyBorder="1" applyAlignment="1" applyProtection="1">
      <alignment horizontal="center" vertical="center"/>
      <protection hidden="1"/>
    </xf>
    <xf numFmtId="166" fontId="6" fillId="0" borderId="0" xfId="0" applyNumberFormat="1" applyFont="1" applyBorder="1" applyAlignment="1" applyProtection="1">
      <alignment horizontal="center"/>
      <protection hidden="1"/>
    </xf>
    <xf numFmtId="0" fontId="6" fillId="0" borderId="0" xfId="0" applyFont="1" applyAlignment="1" applyProtection="1">
      <protection hidden="1"/>
    </xf>
    <xf numFmtId="0" fontId="2" fillId="0" borderId="0" xfId="0" applyFont="1" applyAlignment="1" applyProtection="1">
      <protection hidden="1"/>
    </xf>
    <xf numFmtId="165" fontId="2" fillId="2" borderId="31" xfId="0" applyNumberFormat="1" applyFont="1" applyFill="1" applyBorder="1" applyAlignment="1" applyProtection="1">
      <alignment horizontal="center"/>
      <protection hidden="1"/>
    </xf>
    <xf numFmtId="0" fontId="2" fillId="2" borderId="31" xfId="0" applyFont="1" applyFill="1" applyBorder="1" applyAlignment="1" applyProtection="1">
      <alignment horizontal="center"/>
      <protection hidden="1"/>
    </xf>
    <xf numFmtId="0" fontId="1" fillId="0" borderId="0" xfId="0" applyFont="1" applyAlignment="1" applyProtection="1">
      <protection hidden="1"/>
    </xf>
    <xf numFmtId="0" fontId="2" fillId="0" borderId="0" xfId="0" applyFont="1" applyAlignment="1" applyProtection="1">
      <alignment horizontal="center"/>
      <protection hidden="1"/>
    </xf>
    <xf numFmtId="0" fontId="2" fillId="2" borderId="31" xfId="0" applyFont="1" applyFill="1" applyBorder="1" applyAlignment="1" applyProtection="1">
      <protection hidden="1"/>
    </xf>
    <xf numFmtId="0" fontId="2" fillId="0" borderId="0" xfId="0" applyFont="1" applyBorder="1" applyAlignment="1" applyProtection="1">
      <protection hidden="1"/>
    </xf>
    <xf numFmtId="0" fontId="2" fillId="0" borderId="0" xfId="0" applyFont="1" applyFill="1" applyBorder="1" applyAlignment="1" applyProtection="1">
      <protection hidden="1"/>
    </xf>
    <xf numFmtId="0" fontId="2" fillId="0" borderId="25" xfId="0" applyFont="1" applyFill="1" applyBorder="1" applyAlignment="1" applyProtection="1">
      <protection hidden="1"/>
    </xf>
    <xf numFmtId="0" fontId="2" fillId="0" borderId="0" xfId="0" applyFont="1" applyFill="1" applyAlignment="1" applyProtection="1">
      <protection hidden="1"/>
    </xf>
    <xf numFmtId="0" fontId="2" fillId="0" borderId="36" xfId="0" applyFont="1" applyBorder="1" applyAlignment="1" applyProtection="1">
      <protection hidden="1"/>
    </xf>
    <xf numFmtId="0" fontId="2" fillId="0" borderId="37" xfId="0" applyFont="1" applyBorder="1" applyAlignment="1" applyProtection="1">
      <protection hidden="1"/>
    </xf>
    <xf numFmtId="0" fontId="1" fillId="0" borderId="38" xfId="0" applyFont="1" applyBorder="1" applyAlignment="1" applyProtection="1">
      <alignment horizontal="center"/>
      <protection hidden="1"/>
    </xf>
    <xf numFmtId="0" fontId="1" fillId="0" borderId="39" xfId="0" applyFont="1" applyBorder="1" applyAlignment="1" applyProtection="1">
      <alignment horizontal="center"/>
      <protection hidden="1"/>
    </xf>
    <xf numFmtId="0" fontId="1" fillId="0" borderId="40" xfId="0" applyFont="1" applyBorder="1" applyAlignment="1" applyProtection="1">
      <alignment horizontal="center"/>
      <protection hidden="1"/>
    </xf>
    <xf numFmtId="0" fontId="1" fillId="0" borderId="41" xfId="0" applyFont="1" applyBorder="1" applyAlignment="1" applyProtection="1">
      <protection hidden="1"/>
    </xf>
    <xf numFmtId="0" fontId="2" fillId="0" borderId="42" xfId="0" applyFont="1" applyBorder="1" applyAlignment="1" applyProtection="1">
      <protection hidden="1"/>
    </xf>
    <xf numFmtId="0" fontId="1" fillId="2" borderId="43" xfId="0" applyFont="1" applyFill="1" applyBorder="1" applyAlignment="1" applyProtection="1">
      <alignment horizontal="center"/>
      <protection hidden="1"/>
    </xf>
    <xf numFmtId="0" fontId="1" fillId="0" borderId="2" xfId="0" applyFont="1" applyBorder="1" applyAlignment="1" applyProtection="1">
      <protection hidden="1"/>
    </xf>
    <xf numFmtId="0" fontId="1" fillId="0" borderId="21" xfId="0" applyFont="1" applyBorder="1" applyAlignment="1" applyProtection="1">
      <alignment horizontal="center"/>
      <protection hidden="1"/>
    </xf>
    <xf numFmtId="0" fontId="1" fillId="2" borderId="7" xfId="0" applyFont="1" applyFill="1" applyBorder="1" applyAlignment="1" applyProtection="1">
      <alignment horizontal="center"/>
      <protection hidden="1"/>
    </xf>
    <xf numFmtId="0" fontId="1" fillId="2" borderId="44" xfId="0" applyFont="1" applyFill="1" applyBorder="1" applyAlignment="1" applyProtection="1">
      <alignment horizontal="center"/>
      <protection hidden="1"/>
    </xf>
    <xf numFmtId="0" fontId="1" fillId="0" borderId="45" xfId="0" applyFont="1" applyBorder="1" applyAlignment="1" applyProtection="1">
      <protection hidden="1"/>
    </xf>
    <xf numFmtId="0" fontId="2" fillId="0" borderId="46" xfId="0" applyFont="1" applyBorder="1" applyAlignment="1" applyProtection="1">
      <protection hidden="1"/>
    </xf>
    <xf numFmtId="0" fontId="1" fillId="2" borderId="47" xfId="0" applyFont="1" applyFill="1" applyBorder="1" applyAlignment="1" applyProtection="1">
      <alignment horizontal="center"/>
      <protection hidden="1"/>
    </xf>
    <xf numFmtId="0" fontId="1" fillId="0" borderId="3" xfId="0" applyFont="1" applyBorder="1" applyAlignment="1" applyProtection="1">
      <protection hidden="1"/>
    </xf>
    <xf numFmtId="0" fontId="2" fillId="2" borderId="33" xfId="0" applyFont="1" applyFill="1" applyBorder="1" applyAlignment="1" applyProtection="1">
      <alignment horizontal="center"/>
      <protection hidden="1"/>
    </xf>
    <xf numFmtId="0" fontId="1" fillId="0" borderId="15" xfId="0" applyFont="1" applyBorder="1" applyAlignment="1" applyProtection="1">
      <alignment horizontal="center"/>
      <protection hidden="1"/>
    </xf>
    <xf numFmtId="0" fontId="1" fillId="2" borderId="16" xfId="0" applyFont="1" applyFill="1" applyBorder="1" applyAlignment="1" applyProtection="1">
      <alignment horizontal="center"/>
      <protection hidden="1"/>
    </xf>
    <xf numFmtId="0" fontId="1" fillId="0" borderId="1" xfId="0" quotePrefix="1" applyFont="1" applyBorder="1" applyAlignment="1" applyProtection="1">
      <alignment horizontal="center"/>
      <protection hidden="1"/>
    </xf>
    <xf numFmtId="0" fontId="1" fillId="0" borderId="48" xfId="0" applyFont="1" applyBorder="1" applyAlignment="1" applyProtection="1">
      <protection hidden="1"/>
    </xf>
    <xf numFmtId="0" fontId="2" fillId="0" borderId="31" xfId="0" applyFont="1" applyBorder="1" applyAlignment="1" applyProtection="1">
      <protection hidden="1"/>
    </xf>
    <xf numFmtId="0" fontId="1" fillId="2" borderId="49" xfId="0" applyFont="1" applyFill="1" applyBorder="1" applyAlignment="1" applyProtection="1">
      <alignment horizontal="center"/>
      <protection hidden="1"/>
    </xf>
    <xf numFmtId="0" fontId="1" fillId="0" borderId="4" xfId="0" applyFont="1" applyBorder="1" applyAlignment="1" applyProtection="1">
      <protection hidden="1"/>
    </xf>
    <xf numFmtId="0" fontId="2" fillId="2" borderId="50" xfId="0" applyFont="1" applyFill="1" applyBorder="1" applyAlignment="1" applyProtection="1">
      <alignment horizontal="center"/>
      <protection hidden="1"/>
    </xf>
    <xf numFmtId="0" fontId="1" fillId="0" borderId="51" xfId="0" applyFont="1" applyBorder="1" applyAlignment="1" applyProtection="1">
      <alignment horizontal="center"/>
      <protection hidden="1"/>
    </xf>
    <xf numFmtId="0" fontId="1" fillId="2" borderId="52" xfId="0" applyFont="1" applyFill="1" applyBorder="1" applyAlignment="1" applyProtection="1">
      <alignment horizontal="center"/>
      <protection hidden="1"/>
    </xf>
    <xf numFmtId="0" fontId="1" fillId="0" borderId="53" xfId="0" quotePrefix="1" applyFont="1" applyBorder="1" applyAlignment="1" applyProtection="1">
      <alignment horizontal="center"/>
      <protection hidden="1"/>
    </xf>
    <xf numFmtId="0" fontId="1" fillId="0" borderId="36" xfId="0" applyFont="1" applyBorder="1" applyAlignment="1" applyProtection="1">
      <alignment horizontal="center"/>
      <protection hidden="1"/>
    </xf>
    <xf numFmtId="0" fontId="1" fillId="0" borderId="54" xfId="0" quotePrefix="1" applyFont="1" applyBorder="1" applyAlignment="1" applyProtection="1">
      <alignment horizontal="center"/>
      <protection hidden="1"/>
    </xf>
    <xf numFmtId="0" fontId="1" fillId="0" borderId="55" xfId="0" applyFont="1" applyBorder="1" applyAlignment="1" applyProtection="1">
      <protection hidden="1"/>
    </xf>
    <xf numFmtId="0" fontId="2" fillId="0" borderId="56" xfId="0" applyFont="1" applyBorder="1" applyAlignment="1" applyProtection="1">
      <protection hidden="1"/>
    </xf>
    <xf numFmtId="0" fontId="1" fillId="2" borderId="57" xfId="0" applyFont="1" applyFill="1" applyBorder="1" applyAlignment="1" applyProtection="1">
      <alignment horizontal="center"/>
      <protection hidden="1"/>
    </xf>
    <xf numFmtId="0" fontId="1" fillId="2" borderId="58" xfId="0" applyFont="1" applyFill="1" applyBorder="1" applyAlignment="1" applyProtection="1">
      <alignment horizontal="center"/>
      <protection hidden="1"/>
    </xf>
    <xf numFmtId="0" fontId="1" fillId="2" borderId="59" xfId="0" applyFont="1" applyFill="1" applyBorder="1" applyAlignment="1" applyProtection="1">
      <alignment horizontal="center"/>
      <protection hidden="1"/>
    </xf>
    <xf numFmtId="0" fontId="1" fillId="0" borderId="54" xfId="0" applyFont="1" applyBorder="1" applyAlignment="1" applyProtection="1">
      <alignment horizontal="center"/>
      <protection hidden="1"/>
    </xf>
    <xf numFmtId="0" fontId="1" fillId="0" borderId="36" xfId="0" applyFont="1" applyBorder="1" applyAlignment="1" applyProtection="1">
      <protection hidden="1"/>
    </xf>
    <xf numFmtId="0" fontId="1" fillId="0" borderId="2" xfId="0" applyFont="1" applyBorder="1" applyAlignment="1" applyProtection="1">
      <alignment horizontal="center"/>
      <protection hidden="1"/>
    </xf>
    <xf numFmtId="0" fontId="1" fillId="0" borderId="7" xfId="0" applyFont="1" applyBorder="1" applyAlignment="1" applyProtection="1">
      <alignment horizontal="center"/>
      <protection hidden="1"/>
    </xf>
    <xf numFmtId="0" fontId="1" fillId="0" borderId="60" xfId="0" applyFont="1" applyBorder="1" applyAlignment="1" applyProtection="1">
      <alignment horizontal="center"/>
      <protection hidden="1"/>
    </xf>
    <xf numFmtId="0" fontId="1" fillId="0" borderId="3" xfId="0" applyFont="1" applyBorder="1" applyAlignment="1" applyProtection="1">
      <alignment horizontal="center"/>
      <protection hidden="1"/>
    </xf>
    <xf numFmtId="0" fontId="1" fillId="0" borderId="16" xfId="0" applyFont="1" applyBorder="1" applyAlignment="1" applyProtection="1">
      <alignment horizontal="center"/>
      <protection hidden="1"/>
    </xf>
    <xf numFmtId="0" fontId="1" fillId="0" borderId="61" xfId="0" applyFont="1" applyBorder="1" applyAlignment="1" applyProtection="1">
      <alignment horizontal="center"/>
      <protection hidden="1"/>
    </xf>
    <xf numFmtId="0" fontId="1" fillId="0" borderId="45" xfId="0" applyFont="1" applyBorder="1" applyAlignment="1" applyProtection="1">
      <alignment horizontal="center"/>
      <protection hidden="1"/>
    </xf>
    <xf numFmtId="0" fontId="1" fillId="0" borderId="24" xfId="0" applyFont="1" applyBorder="1" applyAlignment="1" applyProtection="1">
      <alignment horizontal="center"/>
      <protection hidden="1"/>
    </xf>
    <xf numFmtId="0" fontId="1" fillId="0" borderId="6" xfId="0" applyFont="1" applyBorder="1" applyAlignment="1" applyProtection="1">
      <alignment horizontal="center"/>
      <protection hidden="1"/>
    </xf>
    <xf numFmtId="0" fontId="1" fillId="0" borderId="62" xfId="0" applyFont="1" applyBorder="1" applyAlignment="1" applyProtection="1">
      <alignment horizontal="center"/>
      <protection hidden="1"/>
    </xf>
    <xf numFmtId="0" fontId="1" fillId="0" borderId="4" xfId="0" applyFont="1" applyBorder="1" applyAlignment="1" applyProtection="1">
      <alignment horizontal="center"/>
      <protection hidden="1"/>
    </xf>
    <xf numFmtId="0" fontId="1" fillId="0" borderId="63" xfId="0" applyFont="1" applyBorder="1" applyAlignment="1" applyProtection="1">
      <alignment horizontal="center"/>
      <protection hidden="1"/>
    </xf>
    <xf numFmtId="0" fontId="1" fillId="2" borderId="64" xfId="0" applyFont="1" applyFill="1" applyBorder="1" applyAlignment="1" applyProtection="1">
      <alignment horizontal="center"/>
      <protection hidden="1"/>
    </xf>
    <xf numFmtId="0" fontId="1" fillId="2" borderId="65" xfId="0" applyFont="1" applyFill="1" applyBorder="1" applyAlignment="1" applyProtection="1">
      <alignment horizontal="center"/>
      <protection hidden="1"/>
    </xf>
    <xf numFmtId="0" fontId="1" fillId="0" borderId="66" xfId="0" applyFont="1" applyBorder="1" applyAlignment="1" applyProtection="1">
      <alignment horizontal="centerContinuous"/>
      <protection hidden="1"/>
    </xf>
    <xf numFmtId="0" fontId="1" fillId="0" borderId="67" xfId="0" applyFont="1" applyBorder="1" applyAlignment="1" applyProtection="1">
      <alignment horizontal="centerContinuous"/>
      <protection hidden="1"/>
    </xf>
    <xf numFmtId="0" fontId="1" fillId="0" borderId="68" xfId="0" applyFont="1" applyBorder="1" applyAlignment="1" applyProtection="1">
      <alignment horizontal="centerContinuous"/>
      <protection hidden="1"/>
    </xf>
    <xf numFmtId="0" fontId="2" fillId="0" borderId="0" xfId="0" applyFont="1" applyBorder="1" applyAlignment="1" applyProtection="1">
      <alignment vertical="center"/>
      <protection hidden="1"/>
    </xf>
    <xf numFmtId="0" fontId="1" fillId="0" borderId="69" xfId="0" applyFont="1" applyBorder="1" applyAlignment="1" applyProtection="1">
      <alignment vertical="center"/>
      <protection hidden="1"/>
    </xf>
    <xf numFmtId="0" fontId="2" fillId="0" borderId="0" xfId="0" applyFont="1" applyFill="1" applyBorder="1" applyAlignment="1" applyProtection="1">
      <alignment vertical="center"/>
      <protection hidden="1"/>
    </xf>
    <xf numFmtId="0" fontId="1" fillId="0" borderId="0" xfId="0" applyFont="1" applyBorder="1" applyAlignment="1" applyProtection="1">
      <alignment horizontal="center"/>
      <protection hidden="1"/>
    </xf>
    <xf numFmtId="0" fontId="1" fillId="0" borderId="0" xfId="0" applyFont="1" applyBorder="1" applyAlignment="1" applyProtection="1">
      <alignment horizontal="centerContinuous"/>
      <protection hidden="1"/>
    </xf>
    <xf numFmtId="0" fontId="2" fillId="0" borderId="0" xfId="0" applyFont="1" applyBorder="1" applyAlignment="1" applyProtection="1">
      <alignment horizontal="centerContinuous" vertical="center"/>
      <protection hidden="1"/>
    </xf>
    <xf numFmtId="0" fontId="1" fillId="0" borderId="70" xfId="0" applyFont="1" applyBorder="1" applyAlignment="1" applyProtection="1">
      <protection hidden="1"/>
    </xf>
    <xf numFmtId="0" fontId="1" fillId="0" borderId="71" xfId="0" applyFont="1" applyBorder="1" applyAlignment="1" applyProtection="1">
      <alignment horizontal="center"/>
      <protection hidden="1"/>
    </xf>
    <xf numFmtId="0" fontId="1" fillId="0" borderId="25" xfId="0" applyFont="1" applyBorder="1" applyAlignment="1" applyProtection="1">
      <protection hidden="1"/>
    </xf>
    <xf numFmtId="0" fontId="1" fillId="0" borderId="25" xfId="0" applyFont="1" applyBorder="1" applyAlignment="1" applyProtection="1">
      <alignment horizontal="center"/>
      <protection hidden="1"/>
    </xf>
    <xf numFmtId="0" fontId="2" fillId="0" borderId="0" xfId="0" applyFont="1" applyFill="1" applyBorder="1" applyAlignment="1" applyProtection="1">
      <alignment horizontal="left" vertical="center"/>
      <protection hidden="1"/>
    </xf>
    <xf numFmtId="0" fontId="2" fillId="0" borderId="0" xfId="0" applyFont="1" applyFill="1" applyBorder="1" applyAlignment="1" applyProtection="1">
      <alignment horizontal="centerContinuous" vertical="center"/>
      <protection hidden="1"/>
    </xf>
    <xf numFmtId="0" fontId="1" fillId="0" borderId="2" xfId="0" applyFont="1" applyBorder="1" applyAlignment="1" applyProtection="1">
      <alignment vertical="center"/>
      <protection hidden="1"/>
    </xf>
    <xf numFmtId="0" fontId="1" fillId="0" borderId="0" xfId="0" applyFont="1" applyFill="1" applyBorder="1" applyAlignment="1" applyProtection="1">
      <alignment vertical="center"/>
      <protection hidden="1"/>
    </xf>
    <xf numFmtId="0" fontId="1" fillId="0" borderId="0" xfId="0" applyFont="1" applyFill="1" applyBorder="1" applyAlignment="1" applyProtection="1">
      <alignment horizontal="center" vertical="center"/>
      <protection hidden="1"/>
    </xf>
    <xf numFmtId="0" fontId="1" fillId="0" borderId="60" xfId="0" applyFont="1" applyBorder="1" applyAlignment="1" applyProtection="1">
      <alignment horizontal="center" vertical="center"/>
      <protection hidden="1"/>
    </xf>
    <xf numFmtId="0" fontId="1" fillId="0" borderId="4" xfId="0" applyFont="1" applyBorder="1" applyAlignment="1" applyProtection="1">
      <alignment vertical="center"/>
      <protection hidden="1"/>
    </xf>
    <xf numFmtId="0" fontId="1" fillId="0" borderId="63" xfId="0" applyFont="1" applyFill="1" applyBorder="1" applyAlignment="1" applyProtection="1">
      <alignment vertical="center"/>
      <protection hidden="1"/>
    </xf>
    <xf numFmtId="0" fontId="1" fillId="0" borderId="63" xfId="0" applyFont="1" applyFill="1" applyBorder="1" applyAlignment="1" applyProtection="1">
      <alignment horizontal="center" vertical="center"/>
      <protection hidden="1"/>
    </xf>
    <xf numFmtId="0" fontId="1" fillId="0" borderId="72" xfId="0" applyFont="1" applyBorder="1" applyAlignment="1" applyProtection="1">
      <alignment horizontal="center" vertical="center"/>
      <protection hidden="1"/>
    </xf>
    <xf numFmtId="0" fontId="2" fillId="0" borderId="0" xfId="0" applyFont="1" applyFill="1" applyAlignment="1" applyProtection="1">
      <alignment horizontal="center"/>
      <protection hidden="1"/>
    </xf>
    <xf numFmtId="0" fontId="1" fillId="0" borderId="73" xfId="0" applyFont="1" applyBorder="1" applyAlignment="1" applyProtection="1">
      <alignment vertical="center"/>
      <protection hidden="1"/>
    </xf>
    <xf numFmtId="0" fontId="1" fillId="0" borderId="74" xfId="0" applyFont="1" applyFill="1" applyBorder="1" applyAlignment="1" applyProtection="1">
      <alignment vertical="center"/>
      <protection hidden="1"/>
    </xf>
    <xf numFmtId="0" fontId="1" fillId="0" borderId="74" xfId="0" applyFont="1" applyFill="1" applyBorder="1" applyAlignment="1" applyProtection="1">
      <alignment horizontal="center" vertical="center"/>
      <protection hidden="1"/>
    </xf>
    <xf numFmtId="0" fontId="1" fillId="0" borderId="75" xfId="0" applyFont="1" applyBorder="1" applyAlignment="1" applyProtection="1">
      <alignment horizontal="center" vertical="center"/>
      <protection hidden="1"/>
    </xf>
    <xf numFmtId="0" fontId="7" fillId="0" borderId="0" xfId="0" applyFont="1" applyAlignment="1" applyProtection="1">
      <protection hidden="1"/>
    </xf>
    <xf numFmtId="0" fontId="1" fillId="0" borderId="46" xfId="0" applyFont="1" applyBorder="1" applyAlignment="1" applyProtection="1">
      <alignment horizontal="right"/>
      <protection hidden="1"/>
    </xf>
    <xf numFmtId="0" fontId="1" fillId="0" borderId="0" xfId="0" applyFont="1" applyAlignment="1" applyProtection="1">
      <alignment horizontal="right"/>
      <protection hidden="1"/>
    </xf>
    <xf numFmtId="2" fontId="2" fillId="0" borderId="0" xfId="0" quotePrefix="1" applyNumberFormat="1" applyFont="1" applyAlignment="1" applyProtection="1">
      <alignment horizontal="right"/>
      <protection hidden="1"/>
    </xf>
    <xf numFmtId="2" fontId="2" fillId="0" borderId="0" xfId="0" applyNumberFormat="1" applyFont="1" applyAlignment="1" applyProtection="1">
      <alignment horizontal="right"/>
      <protection hidden="1"/>
    </xf>
    <xf numFmtId="166" fontId="6" fillId="0" borderId="0" xfId="0" applyNumberFormat="1" applyFont="1" applyAlignment="1" applyProtection="1">
      <alignment horizontal="center"/>
      <protection hidden="1"/>
    </xf>
    <xf numFmtId="0" fontId="4" fillId="0" borderId="0" xfId="0" applyFont="1" applyAlignment="1" applyProtection="1">
      <protection hidden="1"/>
    </xf>
    <xf numFmtId="0" fontId="2" fillId="0" borderId="9" xfId="0" applyFont="1" applyBorder="1" applyAlignment="1" applyProtection="1">
      <protection hidden="1"/>
    </xf>
    <xf numFmtId="0" fontId="2" fillId="0" borderId="11" xfId="0" applyFont="1" applyBorder="1" applyAlignment="1" applyProtection="1">
      <protection hidden="1"/>
    </xf>
    <xf numFmtId="0" fontId="2" fillId="0" borderId="14" xfId="0" applyFont="1" applyBorder="1" applyAlignment="1" applyProtection="1">
      <protection hidden="1"/>
    </xf>
    <xf numFmtId="0" fontId="2" fillId="0" borderId="21" xfId="0" applyFont="1" applyBorder="1" applyAlignment="1" applyProtection="1">
      <protection hidden="1"/>
    </xf>
    <xf numFmtId="0" fontId="2" fillId="0" borderId="31" xfId="0" applyFont="1" applyBorder="1" applyAlignment="1" applyProtection="1">
      <alignment horizontal="center"/>
      <protection hidden="1"/>
    </xf>
    <xf numFmtId="0" fontId="2" fillId="0" borderId="0" xfId="0" applyFont="1" applyBorder="1" applyAlignment="1" applyProtection="1">
      <alignment horizontal="right"/>
      <protection hidden="1"/>
    </xf>
    <xf numFmtId="0" fontId="2" fillId="0" borderId="8" xfId="0" applyFont="1" applyBorder="1" applyAlignment="1" applyProtection="1">
      <protection hidden="1"/>
    </xf>
    <xf numFmtId="0" fontId="2" fillId="0" borderId="0" xfId="0" applyFont="1" applyAlignment="1" applyProtection="1">
      <alignment horizontal="center" vertical="center"/>
      <protection hidden="1"/>
    </xf>
    <xf numFmtId="0" fontId="2" fillId="0" borderId="76" xfId="0" applyFont="1" applyBorder="1" applyAlignment="1" applyProtection="1">
      <alignment horizontal="center" vertical="center"/>
      <protection hidden="1"/>
    </xf>
    <xf numFmtId="0" fontId="2" fillId="0" borderId="77" xfId="0" applyFont="1" applyBorder="1" applyAlignment="1" applyProtection="1">
      <alignment horizontal="center" vertical="center"/>
      <protection hidden="1"/>
    </xf>
    <xf numFmtId="0" fontId="2" fillId="0" borderId="78" xfId="0" applyFont="1" applyBorder="1" applyAlignment="1" applyProtection="1">
      <alignment horizontal="center" vertical="center"/>
      <protection hidden="1"/>
    </xf>
    <xf numFmtId="0" fontId="2" fillId="0" borderId="79" xfId="0" applyFont="1" applyBorder="1" applyAlignment="1" applyProtection="1">
      <alignment horizontal="center" vertical="center"/>
      <protection hidden="1"/>
    </xf>
    <xf numFmtId="0" fontId="2" fillId="0" borderId="80" xfId="0" applyFont="1" applyBorder="1" applyAlignment="1" applyProtection="1">
      <alignment horizontal="center" vertical="center"/>
      <protection hidden="1"/>
    </xf>
    <xf numFmtId="0" fontId="2" fillId="0" borderId="81" xfId="0" applyFont="1" applyBorder="1" applyAlignment="1" applyProtection="1">
      <alignment horizontal="center" vertical="center"/>
      <protection hidden="1"/>
    </xf>
    <xf numFmtId="0" fontId="1" fillId="0" borderId="9" xfId="0" applyFont="1" applyBorder="1" applyAlignment="1" applyProtection="1">
      <alignment horizontal="center"/>
      <protection hidden="1"/>
    </xf>
    <xf numFmtId="0" fontId="1" fillId="0" borderId="10" xfId="0" applyFont="1" applyBorder="1" applyAlignment="1" applyProtection="1">
      <alignment horizontal="center"/>
      <protection hidden="1"/>
    </xf>
    <xf numFmtId="0" fontId="1" fillId="0" borderId="11"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1" fillId="0" borderId="10" xfId="0" applyFont="1" applyBorder="1" applyAlignment="1" applyProtection="1">
      <protection hidden="1"/>
    </xf>
    <xf numFmtId="0" fontId="1" fillId="0" borderId="11" xfId="0" applyFont="1" applyBorder="1" applyAlignment="1" applyProtection="1">
      <protection hidden="1"/>
    </xf>
    <xf numFmtId="0" fontId="1" fillId="0" borderId="14" xfId="0" applyFont="1" applyBorder="1" applyAlignment="1" applyProtection="1">
      <protection hidden="1"/>
    </xf>
    <xf numFmtId="0" fontId="2" fillId="0" borderId="9" xfId="0" applyFont="1" applyBorder="1" applyAlignment="1" applyProtection="1">
      <alignment horizontal="center"/>
      <protection hidden="1"/>
    </xf>
    <xf numFmtId="0" fontId="2" fillId="0" borderId="10" xfId="0" applyFont="1" applyBorder="1" applyAlignment="1" applyProtection="1">
      <alignment horizontal="center"/>
      <protection hidden="1"/>
    </xf>
    <xf numFmtId="0" fontId="2" fillId="0" borderId="11" xfId="0" applyFont="1" applyBorder="1" applyAlignment="1" applyProtection="1">
      <alignment horizontal="center"/>
      <protection hidden="1"/>
    </xf>
    <xf numFmtId="0" fontId="2" fillId="0" borderId="14" xfId="0" applyFont="1" applyBorder="1" applyAlignment="1" applyProtection="1">
      <alignment horizontal="center"/>
      <protection hidden="1"/>
    </xf>
    <xf numFmtId="0" fontId="1" fillId="0" borderId="0" xfId="0" applyFont="1" applyBorder="1" applyAlignment="1" applyProtection="1">
      <alignment horizontal="left"/>
      <protection hidden="1"/>
    </xf>
    <xf numFmtId="0" fontId="1" fillId="0" borderId="7" xfId="0" applyFont="1" applyBorder="1" applyAlignment="1" applyProtection="1">
      <alignment horizontal="left"/>
      <protection hidden="1"/>
    </xf>
    <xf numFmtId="0" fontId="1" fillId="0" borderId="7" xfId="0" applyFont="1" applyBorder="1" applyAlignment="1" applyProtection="1">
      <protection hidden="1"/>
    </xf>
    <xf numFmtId="0" fontId="1" fillId="0" borderId="0" xfId="0" applyFont="1" applyBorder="1" applyAlignment="1" applyProtection="1">
      <protection hidden="1"/>
    </xf>
    <xf numFmtId="0" fontId="1" fillId="0" borderId="8" xfId="0" applyFont="1" applyBorder="1" applyAlignment="1" applyProtection="1">
      <protection hidden="1"/>
    </xf>
    <xf numFmtId="0" fontId="2" fillId="0" borderId="21" xfId="0" applyFont="1" applyBorder="1" applyAlignment="1" applyProtection="1">
      <alignment horizontal="center"/>
      <protection hidden="1"/>
    </xf>
    <xf numFmtId="0" fontId="2" fillId="0" borderId="8" xfId="0" applyFont="1" applyBorder="1" applyAlignment="1" applyProtection="1">
      <alignment horizontal="center"/>
      <protection hidden="1"/>
    </xf>
    <xf numFmtId="0" fontId="1" fillId="0" borderId="5" xfId="0" applyFont="1" applyBorder="1" applyAlignment="1" applyProtection="1">
      <alignment horizontal="center"/>
      <protection hidden="1"/>
    </xf>
    <xf numFmtId="0" fontId="1" fillId="0" borderId="25" xfId="0" applyFont="1" applyBorder="1" applyAlignment="1" applyProtection="1">
      <alignment horizontal="left"/>
      <protection hidden="1"/>
    </xf>
    <xf numFmtId="0" fontId="1" fillId="0" borderId="6" xfId="0" applyFont="1" applyBorder="1" applyAlignment="1" applyProtection="1">
      <alignment horizontal="left"/>
      <protection hidden="1"/>
    </xf>
    <xf numFmtId="0" fontId="1" fillId="0" borderId="6" xfId="0" applyFont="1" applyBorder="1" applyAlignment="1" applyProtection="1">
      <protection hidden="1"/>
    </xf>
    <xf numFmtId="0" fontId="1" fillId="0" borderId="28" xfId="0" applyFont="1" applyBorder="1" applyAlignment="1" applyProtection="1">
      <protection hidden="1"/>
    </xf>
    <xf numFmtId="0" fontId="2" fillId="0" borderId="5" xfId="0" applyFont="1" applyBorder="1" applyAlignment="1" applyProtection="1">
      <alignment horizontal="center"/>
      <protection hidden="1"/>
    </xf>
    <xf numFmtId="0" fontId="2" fillId="0" borderId="6" xfId="0" applyFont="1" applyBorder="1" applyAlignment="1" applyProtection="1">
      <alignment horizontal="center"/>
      <protection hidden="1"/>
    </xf>
    <xf numFmtId="0" fontId="2" fillId="0" borderId="25" xfId="0" applyFont="1" applyBorder="1" applyAlignment="1" applyProtection="1">
      <alignment horizontal="center"/>
      <protection hidden="1"/>
    </xf>
    <xf numFmtId="0" fontId="2" fillId="0" borderId="28" xfId="0" applyFont="1" applyBorder="1" applyAlignment="1" applyProtection="1">
      <alignment horizontal="center"/>
      <protection hidden="1"/>
    </xf>
    <xf numFmtId="0" fontId="2" fillId="0" borderId="0" xfId="0" applyFont="1" applyAlignment="1" applyProtection="1">
      <alignment vertical="center"/>
      <protection hidden="1"/>
    </xf>
    <xf numFmtId="0" fontId="2" fillId="0" borderId="0" xfId="0" quotePrefix="1" applyFont="1" applyAlignment="1" applyProtection="1">
      <protection hidden="1"/>
    </xf>
    <xf numFmtId="0" fontId="4" fillId="0" borderId="0" xfId="0" applyFont="1" applyAlignment="1" applyProtection="1">
      <alignment horizontal="right"/>
      <protection hidden="1"/>
    </xf>
    <xf numFmtId="0" fontId="2" fillId="0" borderId="0" xfId="0" quotePrefix="1" applyFont="1" applyBorder="1" applyAlignment="1" applyProtection="1">
      <alignment horizontal="left" vertical="center"/>
      <protection hidden="1"/>
    </xf>
    <xf numFmtId="2" fontId="1" fillId="0" borderId="82" xfId="0" applyNumberFormat="1" applyFont="1" applyBorder="1" applyAlignment="1" applyProtection="1">
      <alignment horizontal="center" vertical="center"/>
      <protection hidden="1"/>
    </xf>
    <xf numFmtId="2" fontId="1" fillId="0" borderId="78" xfId="0" applyNumberFormat="1" applyFont="1" applyBorder="1" applyAlignment="1" applyProtection="1">
      <alignment horizontal="center" vertical="center"/>
      <protection hidden="1"/>
    </xf>
    <xf numFmtId="2" fontId="1" fillId="0" borderId="83" xfId="0" applyNumberFormat="1" applyFont="1" applyBorder="1" applyAlignment="1" applyProtection="1">
      <alignment horizontal="center" vertical="center"/>
      <protection hidden="1"/>
    </xf>
    <xf numFmtId="2" fontId="1" fillId="0" borderId="84" xfId="0" applyNumberFormat="1" applyFont="1" applyBorder="1" applyAlignment="1" applyProtection="1">
      <alignment horizontal="center" vertical="center"/>
      <protection hidden="1"/>
    </xf>
    <xf numFmtId="2" fontId="1" fillId="0" borderId="7" xfId="0" applyNumberFormat="1" applyFont="1" applyBorder="1" applyAlignment="1" applyProtection="1">
      <alignment horizontal="center" vertical="center"/>
      <protection hidden="1"/>
    </xf>
    <xf numFmtId="2" fontId="1" fillId="2" borderId="10" xfId="0" applyNumberFormat="1" applyFont="1" applyFill="1" applyBorder="1" applyAlignment="1" applyProtection="1">
      <alignment horizontal="center" vertical="center"/>
      <protection hidden="1"/>
    </xf>
    <xf numFmtId="2" fontId="1" fillId="0" borderId="65" xfId="0" applyNumberFormat="1" applyFont="1" applyBorder="1" applyAlignment="1" applyProtection="1">
      <alignment horizontal="center" vertical="center"/>
      <protection hidden="1"/>
    </xf>
    <xf numFmtId="2" fontId="1" fillId="2" borderId="65" xfId="0" applyNumberFormat="1" applyFont="1" applyFill="1" applyBorder="1" applyAlignment="1" applyProtection="1">
      <alignment horizontal="center" vertical="center"/>
      <protection hidden="1"/>
    </xf>
    <xf numFmtId="2" fontId="2" fillId="0" borderId="0" xfId="0" applyNumberFormat="1" applyFont="1" applyAlignment="1" applyProtection="1">
      <alignment horizontal="center"/>
      <protection hidden="1"/>
    </xf>
    <xf numFmtId="2" fontId="2" fillId="0" borderId="0" xfId="0" applyNumberFormat="1" applyFont="1" applyAlignment="1" applyProtection="1">
      <protection hidden="1"/>
    </xf>
    <xf numFmtId="2" fontId="1" fillId="0" borderId="74" xfId="0" applyNumberFormat="1" applyFont="1" applyBorder="1" applyAlignment="1" applyProtection="1">
      <alignment horizontal="center" vertical="center"/>
      <protection hidden="1"/>
    </xf>
    <xf numFmtId="2" fontId="1" fillId="2" borderId="85" xfId="0" applyNumberFormat="1" applyFont="1" applyFill="1" applyBorder="1" applyAlignment="1" applyProtection="1">
      <alignment horizontal="center" vertical="center"/>
      <protection hidden="1"/>
    </xf>
    <xf numFmtId="2" fontId="1" fillId="0" borderId="0" xfId="0" applyNumberFormat="1" applyFont="1" applyAlignment="1" applyProtection="1">
      <alignment horizontal="right"/>
      <protection hidden="1"/>
    </xf>
    <xf numFmtId="2" fontId="1" fillId="0" borderId="31" xfId="0" applyNumberFormat="1" applyFont="1" applyBorder="1" applyAlignment="1" applyProtection="1">
      <alignment horizontal="right"/>
      <protection hidden="1"/>
    </xf>
    <xf numFmtId="0" fontId="2" fillId="2" borderId="31" xfId="0" applyFont="1" applyFill="1" applyBorder="1" applyAlignment="1" applyProtection="1">
      <alignment horizontal="left"/>
      <protection hidden="1"/>
    </xf>
    <xf numFmtId="164" fontId="2" fillId="0" borderId="86" xfId="0" applyNumberFormat="1" applyFont="1" applyFill="1" applyBorder="1" applyAlignment="1" applyProtection="1">
      <alignment horizontal="center"/>
      <protection hidden="1"/>
    </xf>
    <xf numFmtId="2" fontId="1" fillId="0" borderId="0" xfId="0" applyNumberFormat="1" applyFont="1" applyFill="1" applyBorder="1" applyAlignment="1" applyProtection="1">
      <alignment horizontal="center" vertical="center"/>
      <protection hidden="1"/>
    </xf>
    <xf numFmtId="0" fontId="1" fillId="2" borderId="59" xfId="0" quotePrefix="1" applyFont="1" applyFill="1" applyBorder="1" applyAlignment="1" applyProtection="1">
      <alignment horizontal="center" vertical="center"/>
      <protection hidden="1"/>
    </xf>
    <xf numFmtId="0" fontId="2" fillId="0" borderId="16" xfId="0" applyFont="1" applyFill="1" applyBorder="1" applyAlignment="1" applyProtection="1">
      <alignment horizontal="center" vertical="center"/>
      <protection hidden="1"/>
    </xf>
    <xf numFmtId="0" fontId="2" fillId="0" borderId="24" xfId="0" applyFont="1" applyFill="1" applyBorder="1" applyAlignment="1" applyProtection="1">
      <alignment horizontal="center" vertical="center"/>
      <protection hidden="1"/>
    </xf>
    <xf numFmtId="0" fontId="2" fillId="0" borderId="87" xfId="0" applyFont="1" applyFill="1" applyBorder="1" applyAlignment="1" applyProtection="1">
      <alignment horizontal="center" vertical="center"/>
      <protection hidden="1"/>
    </xf>
    <xf numFmtId="164" fontId="2" fillId="0" borderId="31" xfId="0" applyNumberFormat="1" applyFont="1" applyBorder="1" applyAlignment="1" applyProtection="1">
      <alignment horizontal="center" vertical="center"/>
      <protection hidden="1"/>
    </xf>
    <xf numFmtId="164" fontId="2" fillId="0" borderId="16" xfId="0" applyNumberFormat="1" applyFont="1" applyBorder="1" applyAlignment="1" applyProtection="1">
      <alignment horizontal="center" vertical="center"/>
      <protection hidden="1"/>
    </xf>
    <xf numFmtId="164" fontId="2" fillId="0" borderId="24" xfId="0" applyNumberFormat="1" applyFont="1" applyBorder="1" applyAlignment="1" applyProtection="1">
      <alignment horizontal="center" vertical="center"/>
      <protection hidden="1"/>
    </xf>
    <xf numFmtId="164" fontId="1" fillId="2" borderId="59" xfId="0" applyNumberFormat="1" applyFont="1" applyFill="1" applyBorder="1" applyAlignment="1" applyProtection="1">
      <alignment horizontal="center"/>
      <protection hidden="1"/>
    </xf>
    <xf numFmtId="0" fontId="2" fillId="0" borderId="88" xfId="0" quotePrefix="1" applyFont="1" applyBorder="1" applyAlignment="1" applyProtection="1">
      <alignment horizontal="center" vertical="center"/>
      <protection hidden="1"/>
    </xf>
    <xf numFmtId="164" fontId="1" fillId="2" borderId="89" xfId="0" applyNumberFormat="1" applyFont="1" applyFill="1" applyBorder="1" applyAlignment="1" applyProtection="1">
      <alignment horizontal="center"/>
      <protection hidden="1"/>
    </xf>
    <xf numFmtId="2" fontId="1" fillId="2" borderId="7" xfId="0" applyNumberFormat="1" applyFont="1" applyFill="1" applyBorder="1" applyAlignment="1" applyProtection="1">
      <alignment horizontal="center"/>
      <protection hidden="1"/>
    </xf>
    <xf numFmtId="2" fontId="1" fillId="2" borderId="16" xfId="0" applyNumberFormat="1" applyFont="1" applyFill="1" applyBorder="1" applyAlignment="1" applyProtection="1">
      <alignment horizontal="center"/>
      <protection hidden="1"/>
    </xf>
    <xf numFmtId="2" fontId="1" fillId="2" borderId="65" xfId="0" applyNumberFormat="1" applyFont="1" applyFill="1" applyBorder="1" applyAlignment="1" applyProtection="1">
      <alignment horizontal="center"/>
      <protection hidden="1"/>
    </xf>
    <xf numFmtId="2" fontId="1" fillId="2" borderId="60" xfId="0" applyNumberFormat="1" applyFont="1" applyFill="1" applyBorder="1" applyAlignment="1" applyProtection="1">
      <alignment horizontal="center"/>
      <protection hidden="1"/>
    </xf>
    <xf numFmtId="2" fontId="1" fillId="2" borderId="61" xfId="0" applyNumberFormat="1" applyFont="1" applyFill="1" applyBorder="1" applyAlignment="1" applyProtection="1">
      <alignment horizontal="center"/>
      <protection hidden="1"/>
    </xf>
    <xf numFmtId="2" fontId="1" fillId="2" borderId="72" xfId="0" applyNumberFormat="1" applyFont="1" applyFill="1" applyBorder="1" applyAlignment="1" applyProtection="1">
      <alignment horizontal="center"/>
      <protection hidden="1"/>
    </xf>
    <xf numFmtId="49" fontId="4" fillId="0" borderId="0" xfId="0" applyNumberFormat="1" applyFont="1" applyAlignment="1" applyProtection="1">
      <alignment horizontal="left"/>
      <protection hidden="1"/>
    </xf>
    <xf numFmtId="2" fontId="2" fillId="0" borderId="90" xfId="0" applyNumberFormat="1" applyFont="1" applyBorder="1" applyAlignment="1" applyProtection="1">
      <alignment horizontal="center"/>
      <protection hidden="1"/>
    </xf>
    <xf numFmtId="2" fontId="2" fillId="0" borderId="91" xfId="0" applyNumberFormat="1" applyFont="1" applyBorder="1" applyAlignment="1" applyProtection="1">
      <alignment horizontal="center"/>
      <protection hidden="1"/>
    </xf>
    <xf numFmtId="2" fontId="2" fillId="0" borderId="92" xfId="0" applyNumberFormat="1" applyFont="1" applyBorder="1" applyAlignment="1" applyProtection="1">
      <alignment horizontal="center"/>
      <protection hidden="1"/>
    </xf>
    <xf numFmtId="2" fontId="2" fillId="0" borderId="93" xfId="0" applyNumberFormat="1" applyFont="1" applyBorder="1" applyAlignment="1" applyProtection="1">
      <alignment horizontal="center"/>
      <protection hidden="1"/>
    </xf>
    <xf numFmtId="164" fontId="2" fillId="0" borderId="87" xfId="0" applyNumberFormat="1" applyFont="1" applyFill="1" applyBorder="1" applyAlignment="1" applyProtection="1">
      <alignment horizontal="center"/>
      <protection hidden="1"/>
    </xf>
    <xf numFmtId="164" fontId="2" fillId="0" borderId="16" xfId="0" applyNumberFormat="1" applyFont="1" applyFill="1" applyBorder="1" applyAlignment="1" applyProtection="1">
      <alignment horizontal="center"/>
      <protection hidden="1"/>
    </xf>
    <xf numFmtId="0" fontId="3" fillId="0" borderId="94" xfId="0" applyFont="1" applyFill="1" applyBorder="1" applyAlignment="1" applyProtection="1">
      <alignment horizontal="center"/>
      <protection hidden="1"/>
    </xf>
    <xf numFmtId="0" fontId="0" fillId="0" borderId="0" xfId="0" applyAlignment="1" applyProtection="1">
      <protection hidden="1"/>
    </xf>
    <xf numFmtId="0" fontId="6" fillId="0" borderId="0" xfId="0" applyFont="1" applyFill="1" applyAlignment="1" applyProtection="1">
      <protection hidden="1"/>
    </xf>
    <xf numFmtId="0" fontId="6" fillId="0" borderId="0" xfId="0" applyFont="1" applyAlignment="1" applyProtection="1">
      <alignment horizontal="center"/>
      <protection hidden="1"/>
    </xf>
    <xf numFmtId="0" fontId="0" fillId="0" borderId="0" xfId="0" applyFill="1" applyAlignment="1" applyProtection="1">
      <protection hidden="1"/>
    </xf>
    <xf numFmtId="0" fontId="0" fillId="0" borderId="0" xfId="0" applyAlignment="1" applyProtection="1">
      <alignment horizontal="center"/>
      <protection hidden="1"/>
    </xf>
    <xf numFmtId="2" fontId="0" fillId="0" borderId="0" xfId="0" applyNumberFormat="1" applyAlignment="1" applyProtection="1">
      <protection hidden="1"/>
    </xf>
    <xf numFmtId="167" fontId="0" fillId="0" borderId="0" xfId="0" applyNumberFormat="1" applyFill="1" applyAlignment="1" applyProtection="1">
      <protection hidden="1"/>
    </xf>
    <xf numFmtId="0" fontId="6" fillId="0" borderId="0" xfId="0" applyFont="1" applyAlignment="1" applyProtection="1">
      <alignment horizontal="right"/>
      <protection hidden="1"/>
    </xf>
    <xf numFmtId="0" fontId="2" fillId="0" borderId="0" xfId="0" applyFont="1" applyFill="1" applyBorder="1" applyAlignment="1" applyProtection="1">
      <alignment horizontal="left"/>
      <protection hidden="1"/>
    </xf>
    <xf numFmtId="0" fontId="1" fillId="0" borderId="0" xfId="0" applyFont="1" applyAlignment="1" applyProtection="1">
      <alignment horizontal="center"/>
      <protection hidden="1"/>
    </xf>
    <xf numFmtId="0" fontId="2" fillId="0" borderId="95" xfId="0" applyFont="1" applyBorder="1" applyAlignment="1" applyProtection="1">
      <protection hidden="1"/>
    </xf>
    <xf numFmtId="0" fontId="2" fillId="0" borderId="96" xfId="0" applyFont="1" applyBorder="1" applyProtection="1">
      <protection hidden="1"/>
    </xf>
    <xf numFmtId="0" fontId="2" fillId="0" borderId="97" xfId="0" applyFont="1" applyBorder="1" applyAlignment="1" applyProtection="1">
      <protection hidden="1"/>
    </xf>
    <xf numFmtId="0" fontId="2" fillId="0" borderId="98" xfId="0" applyFont="1" applyBorder="1" applyAlignment="1" applyProtection="1">
      <alignment horizontal="center"/>
      <protection hidden="1"/>
    </xf>
    <xf numFmtId="0" fontId="1" fillId="0" borderId="99" xfId="0" applyFont="1" applyBorder="1" applyAlignment="1" applyProtection="1">
      <protection hidden="1"/>
    </xf>
    <xf numFmtId="0" fontId="2" fillId="0" borderId="100" xfId="0" applyFont="1" applyBorder="1" applyProtection="1">
      <protection hidden="1"/>
    </xf>
    <xf numFmtId="0" fontId="2" fillId="0" borderId="97" xfId="0" applyFont="1" applyFill="1" applyBorder="1" applyAlignment="1" applyProtection="1">
      <protection hidden="1"/>
    </xf>
    <xf numFmtId="0" fontId="2" fillId="0" borderId="101" xfId="0" applyFont="1" applyBorder="1" applyAlignment="1" applyProtection="1">
      <alignment horizontal="center"/>
      <protection hidden="1"/>
    </xf>
    <xf numFmtId="0" fontId="2" fillId="0" borderId="95" xfId="0" applyFont="1" applyBorder="1" applyAlignment="1" applyProtection="1">
      <alignment horizontal="center"/>
      <protection hidden="1"/>
    </xf>
    <xf numFmtId="0" fontId="2" fillId="0" borderId="98" xfId="0" applyFont="1" applyBorder="1" applyAlignment="1" applyProtection="1">
      <protection hidden="1"/>
    </xf>
    <xf numFmtId="0" fontId="1" fillId="0" borderId="102" xfId="0" applyFont="1" applyBorder="1" applyAlignment="1" applyProtection="1">
      <protection hidden="1"/>
    </xf>
    <xf numFmtId="0" fontId="1" fillId="0" borderId="103" xfId="0" applyFont="1" applyBorder="1" applyAlignment="1" applyProtection="1">
      <protection hidden="1"/>
    </xf>
    <xf numFmtId="0" fontId="2" fillId="0" borderId="97" xfId="0" applyFont="1" applyBorder="1" applyAlignment="1" applyProtection="1">
      <alignment horizontal="center"/>
      <protection hidden="1"/>
    </xf>
    <xf numFmtId="0" fontId="0" fillId="0" borderId="0" xfId="0" applyBorder="1" applyAlignment="1" applyProtection="1">
      <protection hidden="1"/>
    </xf>
    <xf numFmtId="0" fontId="0" fillId="0" borderId="104" xfId="0" applyBorder="1" applyAlignment="1" applyProtection="1">
      <protection hidden="1"/>
    </xf>
    <xf numFmtId="0" fontId="2" fillId="0" borderId="105" xfId="0" applyFont="1" applyBorder="1" applyAlignment="1" applyProtection="1">
      <alignment horizontal="center"/>
      <protection hidden="1"/>
    </xf>
    <xf numFmtId="0" fontId="1" fillId="0" borderId="106" xfId="0" applyFont="1" applyBorder="1" applyAlignment="1" applyProtection="1">
      <protection hidden="1"/>
    </xf>
    <xf numFmtId="0" fontId="0" fillId="0" borderId="25" xfId="0" applyBorder="1" applyAlignment="1" applyProtection="1">
      <protection hidden="1"/>
    </xf>
    <xf numFmtId="0" fontId="1" fillId="0" borderId="107" xfId="0" applyFont="1" applyBorder="1" applyAlignment="1" applyProtection="1">
      <protection hidden="1"/>
    </xf>
    <xf numFmtId="0" fontId="0" fillId="0" borderId="102" xfId="0" applyBorder="1" applyAlignment="1" applyProtection="1">
      <protection hidden="1"/>
    </xf>
    <xf numFmtId="0" fontId="2" fillId="0" borderId="99" xfId="0" applyFont="1" applyBorder="1" applyAlignment="1" applyProtection="1">
      <protection hidden="1"/>
    </xf>
    <xf numFmtId="0" fontId="1" fillId="0" borderId="104" xfId="0" applyFont="1" applyBorder="1" applyAlignment="1" applyProtection="1">
      <protection hidden="1"/>
    </xf>
    <xf numFmtId="0" fontId="2" fillId="0" borderId="105" xfId="0" applyFont="1" applyBorder="1" applyAlignment="1" applyProtection="1">
      <protection hidden="1"/>
    </xf>
    <xf numFmtId="0" fontId="2" fillId="0" borderId="95" xfId="0" applyFont="1" applyFill="1" applyBorder="1" applyAlignment="1" applyProtection="1">
      <protection hidden="1"/>
    </xf>
    <xf numFmtId="0" fontId="2" fillId="0" borderId="105" xfId="0" applyFont="1" applyFill="1" applyBorder="1" applyAlignment="1" applyProtection="1">
      <protection hidden="1"/>
    </xf>
    <xf numFmtId="0" fontId="1" fillId="0" borderId="101" xfId="0" applyFont="1" applyBorder="1" applyAlignment="1" applyProtection="1">
      <protection hidden="1"/>
    </xf>
    <xf numFmtId="0" fontId="1" fillId="0" borderId="108" xfId="0" applyFont="1" applyBorder="1" applyAlignment="1" applyProtection="1">
      <protection hidden="1"/>
    </xf>
    <xf numFmtId="0" fontId="1" fillId="0" borderId="93" xfId="0" applyFont="1" applyBorder="1" applyAlignment="1" applyProtection="1">
      <protection hidden="1"/>
    </xf>
    <xf numFmtId="0" fontId="2" fillId="0" borderId="109" xfId="0" applyFont="1" applyBorder="1" applyProtection="1">
      <protection hidden="1"/>
    </xf>
    <xf numFmtId="0" fontId="1" fillId="0" borderId="31" xfId="0" applyFont="1" applyBorder="1" applyAlignment="1" applyProtection="1">
      <protection hidden="1"/>
    </xf>
    <xf numFmtId="0" fontId="1" fillId="0" borderId="31" xfId="0" applyFont="1" applyBorder="1" applyAlignment="1" applyProtection="1">
      <alignment horizontal="center"/>
      <protection hidden="1"/>
    </xf>
    <xf numFmtId="0" fontId="1" fillId="0" borderId="31" xfId="0" applyFont="1" applyBorder="1" applyAlignment="1" applyProtection="1">
      <alignment horizontal="right"/>
      <protection hidden="1"/>
    </xf>
    <xf numFmtId="2" fontId="1" fillId="0" borderId="0" xfId="0" applyNumberFormat="1" applyFont="1" applyAlignment="1" applyProtection="1">
      <alignment horizontal="center"/>
      <protection hidden="1"/>
    </xf>
    <xf numFmtId="9" fontId="1" fillId="0" borderId="0" xfId="0" applyNumberFormat="1" applyFont="1" applyAlignment="1" applyProtection="1">
      <alignment horizontal="right"/>
      <protection hidden="1"/>
    </xf>
    <xf numFmtId="0" fontId="1" fillId="0" borderId="0" xfId="0" applyFont="1" applyFill="1" applyAlignment="1" applyProtection="1">
      <protection hidden="1"/>
    </xf>
    <xf numFmtId="0" fontId="1" fillId="0" borderId="0" xfId="0" applyFont="1" applyFill="1" applyAlignment="1" applyProtection="1">
      <alignment horizontal="center"/>
      <protection hidden="1"/>
    </xf>
    <xf numFmtId="2" fontId="1" fillId="0" borderId="0" xfId="0" applyNumberFormat="1" applyFont="1" applyFill="1" applyAlignment="1" applyProtection="1">
      <alignment horizontal="center"/>
      <protection hidden="1"/>
    </xf>
    <xf numFmtId="9" fontId="1" fillId="0" borderId="0" xfId="0" applyNumberFormat="1" applyFont="1" applyFill="1" applyAlignment="1" applyProtection="1">
      <alignment horizontal="right"/>
      <protection hidden="1"/>
    </xf>
    <xf numFmtId="2" fontId="1" fillId="0" borderId="31" xfId="0" applyNumberFormat="1" applyFont="1" applyFill="1" applyBorder="1" applyAlignment="1" applyProtection="1">
      <alignment horizontal="center"/>
      <protection hidden="1"/>
    </xf>
    <xf numFmtId="9" fontId="1" fillId="0" borderId="31" xfId="0" applyNumberFormat="1" applyFont="1" applyBorder="1" applyAlignment="1" applyProtection="1">
      <alignment horizontal="right"/>
      <protection hidden="1"/>
    </xf>
    <xf numFmtId="164" fontId="1" fillId="0" borderId="0" xfId="0" applyNumberFormat="1" applyFont="1" applyAlignment="1" applyProtection="1">
      <alignment horizontal="center"/>
      <protection hidden="1"/>
    </xf>
    <xf numFmtId="164" fontId="1" fillId="0" borderId="31" xfId="0" applyNumberFormat="1" applyFont="1" applyBorder="1" applyAlignment="1" applyProtection="1">
      <alignment horizontal="center"/>
      <protection hidden="1"/>
    </xf>
    <xf numFmtId="164" fontId="1" fillId="0" borderId="25" xfId="0" applyNumberFormat="1" applyFont="1" applyBorder="1" applyAlignment="1" applyProtection="1">
      <alignment horizontal="center"/>
      <protection hidden="1"/>
    </xf>
    <xf numFmtId="0" fontId="2" fillId="0" borderId="0" xfId="0" applyFont="1" applyAlignment="1" applyProtection="1">
      <alignment horizontal="center" vertical="center" wrapText="1"/>
      <protection hidden="1"/>
    </xf>
    <xf numFmtId="0" fontId="2" fillId="0" borderId="0" xfId="0" applyFont="1" applyAlignment="1" applyProtection="1">
      <alignment horizontal="left" vertical="center"/>
      <protection hidden="1"/>
    </xf>
    <xf numFmtId="0" fontId="16" fillId="0" borderId="0" xfId="0" applyFont="1" applyAlignment="1" applyProtection="1">
      <protection hidden="1"/>
    </xf>
    <xf numFmtId="0" fontId="6" fillId="0" borderId="110" xfId="0" applyFont="1" applyFill="1" applyBorder="1" applyAlignment="1" applyProtection="1">
      <alignment vertical="center" wrapText="1"/>
      <protection hidden="1"/>
    </xf>
    <xf numFmtId="3" fontId="2" fillId="0" borderId="0" xfId="0" applyNumberFormat="1" applyFont="1" applyBorder="1" applyAlignment="1" applyProtection="1">
      <alignment horizontal="center"/>
      <protection hidden="1"/>
    </xf>
    <xf numFmtId="0" fontId="23" fillId="0" borderId="0" xfId="0" applyFont="1" applyAlignment="1" applyProtection="1">
      <alignment vertical="center" wrapText="1"/>
      <protection hidden="1"/>
    </xf>
    <xf numFmtId="0" fontId="0" fillId="0" borderId="0" xfId="0" applyAlignment="1" applyProtection="1">
      <alignment vertical="center" wrapText="1"/>
      <protection hidden="1"/>
    </xf>
    <xf numFmtId="0" fontId="0" fillId="0" borderId="110" xfId="0" applyBorder="1" applyAlignment="1" applyProtection="1">
      <alignment vertical="center" wrapText="1"/>
      <protection hidden="1"/>
    </xf>
    <xf numFmtId="0" fontId="6" fillId="3" borderId="111" xfId="0" applyFont="1" applyFill="1" applyBorder="1" applyAlignment="1" applyProtection="1">
      <alignment vertical="center" wrapText="1"/>
      <protection hidden="1"/>
    </xf>
    <xf numFmtId="0" fontId="0" fillId="2" borderId="111" xfId="0" applyFill="1" applyBorder="1" applyAlignment="1" applyProtection="1">
      <alignment vertical="center" wrapText="1"/>
      <protection hidden="1"/>
    </xf>
    <xf numFmtId="0" fontId="24" fillId="3" borderId="111" xfId="0" applyFont="1" applyFill="1" applyBorder="1" applyAlignment="1" applyProtection="1">
      <alignment vertical="center" wrapText="1"/>
      <protection hidden="1"/>
    </xf>
    <xf numFmtId="0" fontId="0" fillId="0" borderId="111" xfId="0" applyBorder="1" applyAlignment="1" applyProtection="1">
      <alignment vertical="center" wrapText="1"/>
      <protection hidden="1"/>
    </xf>
    <xf numFmtId="0" fontId="0" fillId="0" borderId="0" xfId="0" applyFill="1" applyAlignment="1" applyProtection="1">
      <alignment vertical="center" wrapText="1"/>
      <protection hidden="1"/>
    </xf>
    <xf numFmtId="0" fontId="6" fillId="0" borderId="92" xfId="0" applyFont="1" applyBorder="1" applyAlignment="1" applyProtection="1">
      <alignment vertical="center" wrapText="1"/>
      <protection hidden="1"/>
    </xf>
    <xf numFmtId="0" fontId="0" fillId="0" borderId="0" xfId="0" applyBorder="1" applyAlignment="1" applyProtection="1">
      <alignment vertical="center" wrapText="1"/>
      <protection hidden="1"/>
    </xf>
    <xf numFmtId="0" fontId="6" fillId="0" borderId="110" xfId="0" applyFont="1" applyBorder="1" applyAlignment="1" applyProtection="1">
      <alignment vertical="center" wrapText="1"/>
      <protection hidden="1"/>
    </xf>
    <xf numFmtId="0" fontId="6" fillId="0" borderId="111" xfId="0" applyFont="1" applyBorder="1" applyAlignment="1" applyProtection="1">
      <alignment vertical="center" wrapText="1"/>
      <protection hidden="1"/>
    </xf>
    <xf numFmtId="0" fontId="6" fillId="0" borderId="92" xfId="0" applyFont="1" applyFill="1" applyBorder="1" applyAlignment="1" applyProtection="1">
      <alignment vertical="center" wrapText="1"/>
      <protection hidden="1"/>
    </xf>
    <xf numFmtId="0" fontId="6" fillId="0" borderId="94" xfId="0" applyFont="1" applyFill="1" applyBorder="1" applyAlignment="1" applyProtection="1">
      <alignment vertical="center" wrapText="1"/>
      <protection hidden="1"/>
    </xf>
    <xf numFmtId="0" fontId="6" fillId="0" borderId="111" xfId="0" applyFont="1" applyFill="1" applyBorder="1" applyAlignment="1" applyProtection="1">
      <alignment vertical="center" wrapText="1"/>
      <protection hidden="1"/>
    </xf>
    <xf numFmtId="0" fontId="0" fillId="0" borderId="111" xfId="0" applyFill="1" applyBorder="1" applyAlignment="1" applyProtection="1">
      <alignment vertical="center" wrapText="1"/>
      <protection hidden="1"/>
    </xf>
    <xf numFmtId="0" fontId="18" fillId="0" borderId="111" xfId="0" applyFont="1" applyBorder="1" applyAlignment="1" applyProtection="1">
      <alignment vertical="center" wrapText="1"/>
      <protection hidden="1"/>
    </xf>
    <xf numFmtId="0" fontId="18" fillId="0" borderId="92" xfId="0" applyNumberFormat="1" applyFont="1" applyBorder="1" applyAlignment="1" applyProtection="1">
      <alignment vertical="center" wrapText="1"/>
      <protection hidden="1"/>
    </xf>
    <xf numFmtId="0" fontId="18" fillId="0" borderId="92" xfId="0" applyFont="1" applyBorder="1" applyAlignment="1" applyProtection="1">
      <alignment vertical="center" wrapText="1"/>
      <protection hidden="1"/>
    </xf>
    <xf numFmtId="0" fontId="0" fillId="0" borderId="92" xfId="0" applyBorder="1" applyAlignment="1" applyProtection="1">
      <alignment vertical="center" wrapText="1"/>
      <protection hidden="1"/>
    </xf>
    <xf numFmtId="0" fontId="29" fillId="0" borderId="0" xfId="0" applyFont="1" applyAlignment="1" applyProtection="1">
      <alignment vertical="center" wrapText="1"/>
      <protection hidden="1"/>
    </xf>
    <xf numFmtId="0" fontId="30" fillId="0" borderId="0" xfId="0" applyFont="1" applyAlignment="1" applyProtection="1">
      <alignment vertical="center" wrapText="1"/>
      <protection hidden="1"/>
    </xf>
    <xf numFmtId="0" fontId="18" fillId="0" borderId="111" xfId="0" applyFont="1" applyBorder="1" applyAlignment="1" applyProtection="1">
      <alignment horizontal="left" vertical="center" wrapText="1"/>
      <protection hidden="1"/>
    </xf>
    <xf numFmtId="0" fontId="18" fillId="0" borderId="92" xfId="0" applyFont="1" applyBorder="1" applyAlignment="1" applyProtection="1">
      <alignment horizontal="left" vertical="center" wrapText="1"/>
      <protection hidden="1"/>
    </xf>
    <xf numFmtId="0" fontId="18" fillId="0" borderId="0" xfId="0" applyFont="1" applyAlignment="1" applyProtection="1">
      <alignment vertical="center" wrapText="1"/>
      <protection hidden="1"/>
    </xf>
    <xf numFmtId="0" fontId="6" fillId="0" borderId="0" xfId="0" applyFont="1" applyAlignment="1" applyProtection="1">
      <alignment vertical="center" wrapText="1"/>
      <protection hidden="1"/>
    </xf>
    <xf numFmtId="0" fontId="0" fillId="0" borderId="0" xfId="0" applyAlignment="1" applyProtection="1">
      <alignment horizontal="left" vertical="center" wrapText="1"/>
      <protection hidden="1"/>
    </xf>
    <xf numFmtId="0" fontId="6" fillId="0" borderId="0" xfId="0" applyFont="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2" fillId="0" borderId="112" xfId="0" applyFont="1" applyBorder="1" applyAlignment="1" applyProtection="1">
      <alignment horizontal="center"/>
      <protection hidden="1"/>
    </xf>
    <xf numFmtId="0" fontId="2" fillId="0" borderId="113" xfId="0" applyFont="1" applyBorder="1" applyProtection="1">
      <protection hidden="1"/>
    </xf>
    <xf numFmtId="0" fontId="2" fillId="0" borderId="114" xfId="0" applyFont="1" applyBorder="1" applyProtection="1">
      <protection hidden="1"/>
    </xf>
    <xf numFmtId="0" fontId="2" fillId="0" borderId="114" xfId="0" applyFont="1" applyBorder="1" applyAlignment="1" applyProtection="1">
      <alignment vertical="center" wrapText="1"/>
      <protection hidden="1"/>
    </xf>
    <xf numFmtId="0" fontId="22" fillId="0" borderId="0" xfId="0" applyFont="1" applyAlignment="1" applyProtection="1">
      <protection hidden="1"/>
    </xf>
    <xf numFmtId="0" fontId="2" fillId="0" borderId="115" xfId="0" applyFont="1" applyBorder="1" applyProtection="1">
      <protection hidden="1"/>
    </xf>
    <xf numFmtId="0" fontId="1" fillId="0" borderId="25" xfId="0" applyFont="1" applyBorder="1" applyAlignment="1" applyProtection="1">
      <alignment horizontal="right"/>
      <protection hidden="1"/>
    </xf>
    <xf numFmtId="0" fontId="1" fillId="0" borderId="0" xfId="0" applyFont="1" applyAlignment="1" applyProtection="1">
      <alignment horizontal="left"/>
      <protection hidden="1"/>
    </xf>
    <xf numFmtId="0" fontId="1" fillId="0" borderId="46" xfId="0" applyFont="1" applyBorder="1" applyAlignment="1" applyProtection="1">
      <protection hidden="1"/>
    </xf>
    <xf numFmtId="49" fontId="2" fillId="3" borderId="116" xfId="0" applyNumberFormat="1" applyFont="1" applyFill="1" applyBorder="1" applyAlignment="1" applyProtection="1">
      <alignment horizontal="left" indent="1"/>
      <protection locked="0" hidden="1"/>
    </xf>
    <xf numFmtId="0" fontId="2" fillId="3" borderId="87" xfId="0" applyFont="1" applyFill="1" applyBorder="1" applyAlignment="1" applyProtection="1">
      <alignment horizontal="center"/>
      <protection locked="0" hidden="1"/>
    </xf>
    <xf numFmtId="0" fontId="2" fillId="4" borderId="87" xfId="0" applyFont="1" applyFill="1" applyBorder="1" applyAlignment="1" applyProtection="1">
      <alignment horizontal="center"/>
      <protection locked="0" hidden="1"/>
    </xf>
    <xf numFmtId="0" fontId="2" fillId="3" borderId="87" xfId="0" applyNumberFormat="1" applyFont="1" applyFill="1" applyBorder="1" applyAlignment="1" applyProtection="1">
      <protection locked="0" hidden="1"/>
    </xf>
    <xf numFmtId="49" fontId="2" fillId="3" borderId="117" xfId="0" applyNumberFormat="1" applyFont="1" applyFill="1" applyBorder="1" applyAlignment="1" applyProtection="1">
      <alignment horizontal="left" indent="1"/>
      <protection locked="0" hidden="1"/>
    </xf>
    <xf numFmtId="49" fontId="2" fillId="3" borderId="118" xfId="0" applyNumberFormat="1" applyFont="1" applyFill="1" applyBorder="1" applyAlignment="1" applyProtection="1">
      <alignment horizontal="left" indent="1"/>
      <protection locked="0" hidden="1"/>
    </xf>
    <xf numFmtId="0" fontId="2" fillId="3" borderId="16" xfId="0" applyFont="1" applyFill="1" applyBorder="1" applyAlignment="1" applyProtection="1">
      <alignment horizontal="center"/>
      <protection locked="0" hidden="1"/>
    </xf>
    <xf numFmtId="0" fontId="2" fillId="4" borderId="16" xfId="0" applyFont="1" applyFill="1" applyBorder="1" applyAlignment="1" applyProtection="1">
      <alignment horizontal="center"/>
      <protection locked="0" hidden="1"/>
    </xf>
    <xf numFmtId="0" fontId="2" fillId="3" borderId="16" xfId="0" applyNumberFormat="1" applyFont="1" applyFill="1" applyBorder="1" applyAlignment="1" applyProtection="1">
      <protection locked="0" hidden="1"/>
    </xf>
    <xf numFmtId="49" fontId="2" fillId="3" borderId="33" xfId="0" applyNumberFormat="1" applyFont="1" applyFill="1" applyBorder="1" applyAlignment="1" applyProtection="1">
      <alignment horizontal="left" indent="1"/>
      <protection locked="0" hidden="1"/>
    </xf>
    <xf numFmtId="49" fontId="2" fillId="3" borderId="88" xfId="0" applyNumberFormat="1" applyFont="1" applyFill="1" applyBorder="1" applyAlignment="1" applyProtection="1">
      <alignment horizontal="left" indent="1"/>
      <protection locked="0" hidden="1"/>
    </xf>
    <xf numFmtId="0" fontId="2" fillId="3" borderId="24" xfId="0" applyFont="1" applyFill="1" applyBorder="1" applyAlignment="1" applyProtection="1">
      <alignment horizontal="center"/>
      <protection locked="0" hidden="1"/>
    </xf>
    <xf numFmtId="0" fontId="2" fillId="4" borderId="24" xfId="0" applyFont="1" applyFill="1" applyBorder="1" applyAlignment="1" applyProtection="1">
      <alignment horizontal="center"/>
      <protection locked="0" hidden="1"/>
    </xf>
    <xf numFmtId="0" fontId="2" fillId="3" borderId="24" xfId="0" applyNumberFormat="1" applyFont="1" applyFill="1" applyBorder="1" applyAlignment="1" applyProtection="1">
      <protection locked="0" hidden="1"/>
    </xf>
    <xf numFmtId="49" fontId="2" fillId="3" borderId="35" xfId="0" applyNumberFormat="1" applyFont="1" applyFill="1" applyBorder="1" applyAlignment="1" applyProtection="1">
      <alignment horizontal="left" indent="1"/>
      <protection locked="0" hidden="1"/>
    </xf>
    <xf numFmtId="0" fontId="0" fillId="0" borderId="0" xfId="0" applyFill="1" applyAlignment="1" applyProtection="1">
      <alignment horizontal="center"/>
      <protection hidden="1"/>
    </xf>
    <xf numFmtId="0" fontId="15" fillId="0" borderId="0" xfId="0" applyFont="1" applyFill="1" applyBorder="1" applyAlignment="1" applyProtection="1">
      <alignment horizontal="left" vertical="center"/>
      <protection hidden="1"/>
    </xf>
    <xf numFmtId="0" fontId="8" fillId="0" borderId="0" xfId="0" applyFont="1" applyBorder="1" applyAlignment="1" applyProtection="1">
      <alignment horizontal="center" vertical="center"/>
      <protection hidden="1"/>
    </xf>
    <xf numFmtId="0" fontId="15" fillId="0" borderId="0" xfId="0" applyFont="1" applyFill="1" applyBorder="1" applyAlignment="1" applyProtection="1">
      <alignment horizontal="left" vertical="top" wrapText="1"/>
      <protection hidden="1"/>
    </xf>
    <xf numFmtId="0" fontId="15" fillId="0" borderId="63" xfId="0" applyFont="1" applyFill="1" applyBorder="1" applyAlignment="1" applyProtection="1">
      <alignment horizontal="left" vertical="top" wrapText="1"/>
      <protection hidden="1"/>
    </xf>
    <xf numFmtId="0" fontId="2" fillId="0" borderId="63" xfId="0" applyFont="1" applyBorder="1" applyAlignment="1" applyProtection="1">
      <protection hidden="1"/>
    </xf>
    <xf numFmtId="0" fontId="2" fillId="0" borderId="63" xfId="0" applyFont="1" applyFill="1" applyBorder="1" applyAlignment="1" applyProtection="1">
      <protection hidden="1"/>
    </xf>
    <xf numFmtId="0" fontId="2" fillId="0" borderId="119" xfId="0" applyFont="1" applyBorder="1" applyAlignment="1" applyProtection="1">
      <alignment horizontal="center"/>
      <protection hidden="1"/>
    </xf>
    <xf numFmtId="0" fontId="2" fillId="0" borderId="2" xfId="0" applyFont="1" applyBorder="1" applyAlignment="1" applyProtection="1">
      <protection hidden="1"/>
    </xf>
    <xf numFmtId="0" fontId="8" fillId="0" borderId="0" xfId="0" applyFont="1" applyBorder="1" applyAlignment="1" applyProtection="1">
      <protection hidden="1"/>
    </xf>
    <xf numFmtId="0" fontId="2" fillId="0" borderId="60" xfId="0" applyFont="1" applyBorder="1" applyAlignment="1" applyProtection="1">
      <protection hidden="1"/>
    </xf>
    <xf numFmtId="0" fontId="2" fillId="0" borderId="36" xfId="0" applyFont="1" applyFill="1" applyBorder="1" applyAlignment="1" applyProtection="1">
      <protection hidden="1"/>
    </xf>
    <xf numFmtId="0" fontId="2" fillId="0" borderId="40" xfId="0" applyFont="1" applyFill="1" applyBorder="1" applyAlignment="1" applyProtection="1">
      <protection hidden="1"/>
    </xf>
    <xf numFmtId="0" fontId="2" fillId="0" borderId="120" xfId="0" applyFont="1" applyBorder="1" applyAlignment="1" applyProtection="1">
      <alignment horizontal="center"/>
      <protection hidden="1"/>
    </xf>
    <xf numFmtId="0" fontId="2" fillId="0" borderId="121" xfId="0" applyFont="1" applyBorder="1" applyAlignment="1" applyProtection="1">
      <alignment horizontal="center"/>
      <protection hidden="1"/>
    </xf>
    <xf numFmtId="0" fontId="2" fillId="0" borderId="2" xfId="0" applyFont="1" applyBorder="1" applyAlignment="1" applyProtection="1">
      <alignment horizontal="right"/>
      <protection hidden="1"/>
    </xf>
    <xf numFmtId="0" fontId="2" fillId="0" borderId="2" xfId="0" applyFont="1" applyFill="1" applyBorder="1" applyAlignment="1" applyProtection="1">
      <alignment horizontal="right"/>
      <protection hidden="1"/>
    </xf>
    <xf numFmtId="0" fontId="2" fillId="0" borderId="0" xfId="0" applyFont="1" applyAlignment="1" applyProtection="1">
      <alignment horizontal="right"/>
      <protection hidden="1"/>
    </xf>
    <xf numFmtId="0" fontId="2" fillId="0" borderId="78" xfId="0" applyFont="1" applyFill="1" applyBorder="1" applyAlignment="1" applyProtection="1">
      <alignment horizontal="center"/>
      <protection hidden="1"/>
    </xf>
    <xf numFmtId="0" fontId="2" fillId="0" borderId="122" xfId="0" applyFont="1" applyBorder="1" applyAlignment="1" applyProtection="1">
      <alignment horizontal="center"/>
      <protection hidden="1"/>
    </xf>
    <xf numFmtId="0" fontId="2" fillId="0" borderId="0" xfId="0" applyFont="1" applyBorder="1" applyAlignment="1" applyProtection="1">
      <alignment horizontal="left"/>
      <protection hidden="1"/>
    </xf>
    <xf numFmtId="0" fontId="3" fillId="0" borderId="94" xfId="0" applyFont="1" applyBorder="1" applyAlignment="1" applyProtection="1">
      <protection hidden="1"/>
    </xf>
    <xf numFmtId="0" fontId="2" fillId="0" borderId="70" xfId="0" applyFont="1" applyFill="1" applyBorder="1" applyAlignment="1" applyProtection="1">
      <protection hidden="1"/>
    </xf>
    <xf numFmtId="164" fontId="2" fillId="0" borderId="123" xfId="0" applyNumberFormat="1" applyFont="1" applyFill="1" applyBorder="1" applyAlignment="1" applyProtection="1">
      <alignment horizontal="center"/>
      <protection hidden="1"/>
    </xf>
    <xf numFmtId="0" fontId="2" fillId="0" borderId="124" xfId="0" applyFont="1" applyBorder="1" applyAlignment="1" applyProtection="1">
      <protection hidden="1"/>
    </xf>
    <xf numFmtId="0" fontId="2" fillId="0" borderId="11" xfId="0" applyFont="1" applyFill="1" applyBorder="1" applyAlignment="1" applyProtection="1">
      <alignment horizontal="center"/>
      <protection hidden="1"/>
    </xf>
    <xf numFmtId="0" fontId="2" fillId="0" borderId="125" xfId="0" applyFont="1" applyFill="1" applyBorder="1" applyAlignment="1" applyProtection="1">
      <alignment horizontal="right"/>
      <protection hidden="1"/>
    </xf>
    <xf numFmtId="164" fontId="0" fillId="0" borderId="126" xfId="0" applyNumberFormat="1" applyFill="1" applyBorder="1" applyAlignment="1" applyProtection="1">
      <alignment horizontal="center"/>
      <protection hidden="1"/>
    </xf>
    <xf numFmtId="0" fontId="2" fillId="0" borderId="70" xfId="0" applyFont="1" applyFill="1" applyBorder="1" applyAlignment="1" applyProtection="1">
      <alignment horizontal="left"/>
      <protection hidden="1"/>
    </xf>
    <xf numFmtId="164" fontId="0" fillId="0" borderId="123" xfId="0" applyNumberFormat="1" applyFill="1" applyBorder="1" applyAlignment="1" applyProtection="1">
      <alignment horizontal="center"/>
      <protection hidden="1"/>
    </xf>
    <xf numFmtId="0" fontId="2" fillId="0" borderId="4" xfId="0" applyFont="1" applyFill="1" applyBorder="1" applyAlignment="1" applyProtection="1">
      <alignment horizontal="right"/>
      <protection hidden="1"/>
    </xf>
    <xf numFmtId="0" fontId="8" fillId="0" borderId="0" xfId="0" applyFont="1" applyAlignment="1" applyProtection="1">
      <protection hidden="1"/>
    </xf>
    <xf numFmtId="0" fontId="2" fillId="0" borderId="112" xfId="0" applyFont="1" applyFill="1" applyBorder="1" applyAlignment="1" applyProtection="1">
      <protection hidden="1"/>
    </xf>
    <xf numFmtId="0" fontId="2" fillId="0" borderId="127" xfId="0" applyFont="1" applyFill="1" applyBorder="1" applyAlignment="1" applyProtection="1">
      <protection hidden="1"/>
    </xf>
    <xf numFmtId="0" fontId="2" fillId="0" borderId="112" xfId="0" applyFont="1" applyBorder="1" applyAlignment="1" applyProtection="1">
      <protection hidden="1"/>
    </xf>
    <xf numFmtId="0" fontId="2" fillId="0" borderId="128" xfId="0" applyFont="1" applyBorder="1" applyAlignment="1" applyProtection="1">
      <protection hidden="1"/>
    </xf>
    <xf numFmtId="0" fontId="2" fillId="0" borderId="38" xfId="0" applyFont="1" applyBorder="1" applyAlignment="1" applyProtection="1">
      <alignment horizontal="center"/>
      <protection hidden="1"/>
    </xf>
    <xf numFmtId="0" fontId="2" fillId="0" borderId="129" xfId="0" applyFont="1" applyBorder="1" applyAlignment="1" applyProtection="1">
      <alignment horizontal="center"/>
      <protection hidden="1"/>
    </xf>
    <xf numFmtId="0" fontId="2" fillId="0" borderId="54" xfId="0" applyFont="1" applyBorder="1" applyAlignment="1" applyProtection="1">
      <alignment horizontal="center"/>
      <protection hidden="1"/>
    </xf>
    <xf numFmtId="0" fontId="2" fillId="0" borderId="130" xfId="0" applyFont="1" applyBorder="1" applyAlignment="1" applyProtection="1">
      <protection hidden="1"/>
    </xf>
    <xf numFmtId="0" fontId="2" fillId="0" borderId="131" xfId="0" applyFont="1" applyBorder="1" applyAlignment="1" applyProtection="1">
      <protection hidden="1"/>
    </xf>
    <xf numFmtId="0" fontId="3" fillId="0" borderId="131" xfId="0" applyFont="1" applyFill="1" applyBorder="1" applyAlignment="1" applyProtection="1">
      <alignment horizontal="center"/>
      <protection hidden="1"/>
    </xf>
    <xf numFmtId="0" fontId="1" fillId="0" borderId="131" xfId="0" applyFont="1" applyBorder="1" applyAlignment="1" applyProtection="1">
      <protection hidden="1"/>
    </xf>
    <xf numFmtId="0" fontId="1" fillId="0" borderId="132" xfId="0" applyFont="1" applyBorder="1" applyAlignment="1" applyProtection="1">
      <protection hidden="1"/>
    </xf>
    <xf numFmtId="0" fontId="1" fillId="0" borderId="70" xfId="0" applyFont="1" applyFill="1" applyBorder="1" applyAlignment="1" applyProtection="1">
      <alignment horizontal="centerContinuous"/>
      <protection hidden="1"/>
    </xf>
    <xf numFmtId="0" fontId="2" fillId="0" borderId="62" xfId="0" applyFont="1" applyFill="1" applyBorder="1" applyAlignment="1" applyProtection="1">
      <alignment horizontal="centerContinuous"/>
      <protection hidden="1"/>
    </xf>
    <xf numFmtId="0" fontId="1" fillId="0" borderId="70" xfId="0" applyFont="1" applyBorder="1" applyAlignment="1" applyProtection="1">
      <alignment horizontal="centerContinuous"/>
      <protection hidden="1"/>
    </xf>
    <xf numFmtId="0" fontId="2" fillId="0" borderId="28" xfId="0" applyFont="1" applyBorder="1" applyAlignment="1" applyProtection="1">
      <alignment horizontal="centerContinuous"/>
      <protection hidden="1"/>
    </xf>
    <xf numFmtId="49" fontId="2" fillId="5" borderId="0" xfId="0" applyNumberFormat="1" applyFont="1" applyFill="1" applyBorder="1" applyAlignment="1" applyProtection="1">
      <alignment horizontal="center"/>
      <protection hidden="1"/>
    </xf>
    <xf numFmtId="0" fontId="16" fillId="0" borderId="99" xfId="0" applyFont="1" applyBorder="1" applyAlignment="1" applyProtection="1">
      <protection hidden="1"/>
    </xf>
    <xf numFmtId="0" fontId="21" fillId="0" borderId="21" xfId="0" applyFont="1" applyFill="1" applyBorder="1" applyAlignment="1" applyProtection="1">
      <alignment horizontal="center"/>
      <protection hidden="1"/>
    </xf>
    <xf numFmtId="0" fontId="16" fillId="0" borderId="21" xfId="0" applyFont="1" applyBorder="1" applyAlignment="1" applyProtection="1">
      <alignment horizontal="center"/>
      <protection hidden="1"/>
    </xf>
    <xf numFmtId="0" fontId="16" fillId="0" borderId="133" xfId="0" applyFont="1" applyBorder="1" applyAlignment="1" applyProtection="1">
      <alignment horizontal="center"/>
      <protection hidden="1"/>
    </xf>
    <xf numFmtId="0" fontId="2" fillId="0" borderId="134" xfId="0" applyFont="1" applyFill="1" applyBorder="1" applyAlignment="1" applyProtection="1">
      <protection hidden="1"/>
    </xf>
    <xf numFmtId="49" fontId="2" fillId="5" borderId="15" xfId="0" applyNumberFormat="1" applyFont="1" applyFill="1" applyBorder="1" applyAlignment="1" applyProtection="1">
      <alignment horizontal="center"/>
      <protection hidden="1"/>
    </xf>
    <xf numFmtId="0" fontId="2" fillId="0" borderId="135" xfId="0" applyFont="1" applyBorder="1" applyAlignment="1" applyProtection="1">
      <alignment horizontal="center"/>
      <protection hidden="1"/>
    </xf>
    <xf numFmtId="0" fontId="16" fillId="0" borderId="106" xfId="0" applyFont="1" applyBorder="1" applyAlignment="1" applyProtection="1">
      <protection hidden="1"/>
    </xf>
    <xf numFmtId="0" fontId="21" fillId="0" borderId="5" xfId="0" applyFont="1" applyFill="1" applyBorder="1" applyAlignment="1" applyProtection="1">
      <alignment horizontal="center"/>
      <protection hidden="1"/>
    </xf>
    <xf numFmtId="0" fontId="16" fillId="0" borderId="5" xfId="0" applyFont="1" applyBorder="1" applyAlignment="1" applyProtection="1">
      <alignment horizontal="center"/>
      <protection hidden="1"/>
    </xf>
    <xf numFmtId="0" fontId="16" fillId="0" borderId="136" xfId="0" applyFont="1" applyBorder="1" applyAlignment="1" applyProtection="1">
      <alignment horizontal="center"/>
      <protection hidden="1"/>
    </xf>
    <xf numFmtId="0" fontId="2" fillId="0" borderId="3" xfId="0" applyFont="1" applyBorder="1" applyAlignment="1" applyProtection="1">
      <protection hidden="1"/>
    </xf>
    <xf numFmtId="0" fontId="2" fillId="0" borderId="4" xfId="0" applyFont="1" applyFill="1" applyBorder="1" applyAlignment="1" applyProtection="1">
      <protection hidden="1"/>
    </xf>
    <xf numFmtId="0" fontId="2" fillId="0" borderId="72" xfId="0" applyFont="1" applyFill="1" applyBorder="1" applyAlignment="1" applyProtection="1">
      <protection hidden="1"/>
    </xf>
    <xf numFmtId="0" fontId="2" fillId="0" borderId="4" xfId="0" applyFont="1" applyBorder="1" applyAlignment="1" applyProtection="1">
      <protection hidden="1"/>
    </xf>
    <xf numFmtId="49" fontId="2" fillId="5" borderId="63" xfId="0" applyNumberFormat="1" applyFont="1" applyFill="1" applyBorder="1" applyAlignment="1" applyProtection="1">
      <alignment horizontal="center"/>
      <protection hidden="1"/>
    </xf>
    <xf numFmtId="0" fontId="2" fillId="0" borderId="72" xfId="0" applyFont="1" applyBorder="1" applyAlignment="1" applyProtection="1">
      <alignment horizontal="center"/>
      <protection hidden="1"/>
    </xf>
    <xf numFmtId="0" fontId="2" fillId="0" borderId="106" xfId="0" applyFont="1" applyBorder="1" applyAlignment="1" applyProtection="1">
      <protection hidden="1"/>
    </xf>
    <xf numFmtId="0" fontId="2" fillId="0" borderId="137" xfId="0" applyFont="1" applyBorder="1" applyAlignment="1" applyProtection="1">
      <protection hidden="1"/>
    </xf>
    <xf numFmtId="0" fontId="2" fillId="0" borderId="99" xfId="0" applyFont="1" applyFill="1" applyBorder="1" applyAlignment="1" applyProtection="1">
      <protection hidden="1"/>
    </xf>
    <xf numFmtId="0" fontId="2" fillId="0" borderId="0" xfId="0" applyFont="1" applyFill="1" applyBorder="1" applyAlignment="1" applyProtection="1">
      <alignment horizontal="center"/>
      <protection hidden="1"/>
    </xf>
    <xf numFmtId="0" fontId="2" fillId="0" borderId="67" xfId="0" applyFont="1" applyBorder="1" applyAlignment="1" applyProtection="1">
      <protection hidden="1"/>
    </xf>
    <xf numFmtId="0" fontId="1" fillId="0" borderId="67" xfId="0" applyFont="1" applyBorder="1" applyAlignment="1" applyProtection="1">
      <protection hidden="1"/>
    </xf>
    <xf numFmtId="0" fontId="2" fillId="0" borderId="54" xfId="0" applyFont="1" applyBorder="1" applyAlignment="1" applyProtection="1">
      <protection hidden="1"/>
    </xf>
    <xf numFmtId="0" fontId="2" fillId="0" borderId="134" xfId="0" applyFont="1" applyBorder="1" applyAlignment="1" applyProtection="1">
      <protection hidden="1"/>
    </xf>
    <xf numFmtId="0" fontId="2" fillId="0" borderId="138" xfId="0" applyFont="1" applyBorder="1" applyAlignment="1" applyProtection="1">
      <protection hidden="1"/>
    </xf>
    <xf numFmtId="0" fontId="2" fillId="0" borderId="67" xfId="0" applyFont="1" applyFill="1" applyBorder="1" applyAlignment="1" applyProtection="1">
      <alignment horizontal="center"/>
      <protection hidden="1"/>
    </xf>
    <xf numFmtId="0" fontId="2" fillId="0" borderId="67" xfId="0" applyFont="1" applyBorder="1" applyAlignment="1" applyProtection="1">
      <alignment horizontal="center"/>
      <protection hidden="1"/>
    </xf>
    <xf numFmtId="0" fontId="2" fillId="0" borderId="70" xfId="0" applyFont="1" applyBorder="1" applyAlignment="1" applyProtection="1">
      <protection hidden="1"/>
    </xf>
    <xf numFmtId="0" fontId="2" fillId="0" borderId="25" xfId="0" applyFont="1" applyBorder="1" applyAlignment="1" applyProtection="1">
      <protection hidden="1"/>
    </xf>
    <xf numFmtId="0" fontId="2" fillId="0" borderId="139" xfId="0" applyFont="1" applyBorder="1" applyAlignment="1" applyProtection="1">
      <protection hidden="1"/>
    </xf>
    <xf numFmtId="0" fontId="2" fillId="0" borderId="140" xfId="0" applyFont="1" applyBorder="1" applyAlignment="1" applyProtection="1">
      <protection hidden="1"/>
    </xf>
    <xf numFmtId="0" fontId="1" fillId="0" borderId="0" xfId="0" applyFont="1" applyFill="1" applyBorder="1" applyAlignment="1" applyProtection="1">
      <protection hidden="1"/>
    </xf>
    <xf numFmtId="0" fontId="13" fillId="0" borderId="0" xfId="0" applyFont="1" applyFill="1" applyAlignment="1" applyProtection="1">
      <protection hidden="1"/>
    </xf>
    <xf numFmtId="0" fontId="8" fillId="0" borderId="0" xfId="0" applyFont="1" applyFill="1" applyAlignment="1" applyProtection="1">
      <protection hidden="1"/>
    </xf>
    <xf numFmtId="0" fontId="2" fillId="0" borderId="140" xfId="0" applyFont="1" applyFill="1" applyBorder="1" applyAlignment="1" applyProtection="1">
      <alignment horizontal="left"/>
      <protection hidden="1"/>
    </xf>
    <xf numFmtId="2" fontId="2" fillId="0" borderId="140" xfId="0" applyNumberFormat="1" applyFont="1" applyFill="1" applyBorder="1" applyAlignment="1" applyProtection="1">
      <alignment horizontal="left"/>
      <protection hidden="1"/>
    </xf>
    <xf numFmtId="0" fontId="1" fillId="0" borderId="0" xfId="0" quotePrefix="1" applyFont="1" applyFill="1" applyAlignment="1" applyProtection="1">
      <protection hidden="1"/>
    </xf>
    <xf numFmtId="0" fontId="8" fillId="0" borderId="0" xfId="0" quotePrefix="1" applyFont="1" applyAlignment="1" applyProtection="1">
      <protection hidden="1"/>
    </xf>
    <xf numFmtId="2" fontId="2" fillId="0" borderId="141" xfId="0" applyNumberFormat="1" applyFont="1" applyFill="1" applyBorder="1" applyAlignment="1" applyProtection="1">
      <alignment horizontal="left"/>
      <protection hidden="1"/>
    </xf>
    <xf numFmtId="0" fontId="2" fillId="0" borderId="54" xfId="0" applyFont="1" applyFill="1" applyBorder="1" applyAlignment="1" applyProtection="1">
      <protection hidden="1"/>
    </xf>
    <xf numFmtId="0" fontId="3" fillId="0" borderId="0" xfId="0" applyFont="1" applyFill="1" applyBorder="1" applyAlignment="1" applyProtection="1">
      <protection hidden="1"/>
    </xf>
    <xf numFmtId="0" fontId="3" fillId="0" borderId="0" xfId="0" applyFont="1" applyBorder="1" applyAlignment="1" applyProtection="1">
      <protection hidden="1"/>
    </xf>
    <xf numFmtId="0" fontId="2" fillId="0" borderId="0" xfId="0" applyFont="1" applyFill="1" applyBorder="1" applyAlignment="1" applyProtection="1">
      <alignment horizontal="centerContinuous"/>
      <protection hidden="1"/>
    </xf>
    <xf numFmtId="0" fontId="2" fillId="0" borderId="142" xfId="0" applyFont="1" applyBorder="1" applyAlignment="1" applyProtection="1">
      <alignment horizontal="center"/>
      <protection hidden="1"/>
    </xf>
    <xf numFmtId="0" fontId="3" fillId="0" borderId="60" xfId="0" applyFont="1" applyBorder="1" applyAlignment="1" applyProtection="1">
      <protection hidden="1"/>
    </xf>
    <xf numFmtId="0" fontId="2" fillId="0" borderId="63" xfId="0" applyFont="1" applyBorder="1" applyAlignment="1" applyProtection="1">
      <alignment horizontal="center"/>
      <protection hidden="1"/>
    </xf>
    <xf numFmtId="0" fontId="3" fillId="0" borderId="51" xfId="0" applyFont="1" applyBorder="1" applyAlignment="1" applyProtection="1">
      <protection hidden="1"/>
    </xf>
    <xf numFmtId="0" fontId="3" fillId="0" borderId="63" xfId="0" applyFont="1" applyBorder="1" applyAlignment="1" applyProtection="1">
      <protection hidden="1"/>
    </xf>
    <xf numFmtId="0" fontId="17" fillId="0" borderId="72" xfId="0" applyFont="1" applyBorder="1" applyAlignment="1" applyProtection="1">
      <protection hidden="1"/>
    </xf>
    <xf numFmtId="0" fontId="3" fillId="0" borderId="0" xfId="0" applyFont="1" applyFill="1" applyBorder="1" applyAlignment="1" applyProtection="1">
      <alignment horizontal="center"/>
      <protection hidden="1"/>
    </xf>
    <xf numFmtId="0" fontId="14" fillId="0" borderId="0" xfId="1" applyFont="1" applyFill="1" applyBorder="1" applyAlignment="1" applyProtection="1">
      <alignment horizontal="center"/>
      <protection hidden="1"/>
    </xf>
    <xf numFmtId="0" fontId="14" fillId="0" borderId="143" xfId="1" applyFont="1" applyFill="1" applyBorder="1" applyAlignment="1" applyProtection="1">
      <alignment horizontal="right" wrapText="1"/>
      <protection hidden="1"/>
    </xf>
    <xf numFmtId="0" fontId="14" fillId="0" borderId="143" xfId="1" applyFont="1" applyFill="1" applyBorder="1" applyAlignment="1" applyProtection="1">
      <alignment wrapText="1"/>
      <protection hidden="1"/>
    </xf>
    <xf numFmtId="0" fontId="14" fillId="0" borderId="144" xfId="1" applyFont="1" applyFill="1" applyBorder="1" applyAlignment="1" applyProtection="1">
      <alignment horizontal="right" wrapText="1"/>
      <protection hidden="1"/>
    </xf>
    <xf numFmtId="0" fontId="14" fillId="0" borderId="144" xfId="1" applyFont="1" applyFill="1" applyBorder="1" applyAlignment="1" applyProtection="1">
      <alignment wrapText="1"/>
      <protection hidden="1"/>
    </xf>
    <xf numFmtId="0" fontId="3" fillId="4" borderId="94" xfId="0" applyFont="1" applyFill="1" applyBorder="1" applyAlignment="1" applyProtection="1">
      <alignment horizontal="center"/>
      <protection locked="0" hidden="1"/>
    </xf>
    <xf numFmtId="164" fontId="2" fillId="3" borderId="86" xfId="0" applyNumberFormat="1" applyFont="1" applyFill="1" applyBorder="1" applyAlignment="1" applyProtection="1">
      <alignment horizontal="center"/>
      <protection locked="0" hidden="1"/>
    </xf>
    <xf numFmtId="164" fontId="2" fillId="3" borderId="1" xfId="0" applyNumberFormat="1" applyFont="1" applyFill="1" applyBorder="1" applyAlignment="1" applyProtection="1">
      <alignment horizontal="center"/>
      <protection locked="0" hidden="1"/>
    </xf>
    <xf numFmtId="164" fontId="2" fillId="3" borderId="145" xfId="0" applyNumberFormat="1" applyFont="1" applyFill="1" applyBorder="1" applyAlignment="1" applyProtection="1">
      <alignment horizontal="center"/>
      <protection locked="0" hidden="1"/>
    </xf>
    <xf numFmtId="164" fontId="2" fillId="3" borderId="53" xfId="0" applyNumberFormat="1" applyFont="1" applyFill="1" applyBorder="1" applyAlignment="1" applyProtection="1">
      <alignment horizontal="center"/>
      <protection locked="0" hidden="1"/>
    </xf>
    <xf numFmtId="164" fontId="3" fillId="3" borderId="146" xfId="0" applyNumberFormat="1" applyFont="1" applyFill="1" applyBorder="1" applyAlignment="1" applyProtection="1">
      <alignment horizontal="center"/>
      <protection locked="0" hidden="1"/>
    </xf>
    <xf numFmtId="0" fontId="3" fillId="3" borderId="90" xfId="0" applyFont="1" applyFill="1" applyBorder="1" applyAlignment="1" applyProtection="1">
      <alignment horizontal="center"/>
      <protection locked="0" hidden="1"/>
    </xf>
    <xf numFmtId="164" fontId="3" fillId="3" borderId="106" xfId="0" applyNumberFormat="1" applyFont="1" applyFill="1" applyBorder="1" applyAlignment="1" applyProtection="1">
      <alignment horizontal="center"/>
      <protection locked="0" hidden="1"/>
    </xf>
    <xf numFmtId="0" fontId="3" fillId="3" borderId="5" xfId="0" applyFont="1" applyFill="1" applyBorder="1" applyAlignment="1" applyProtection="1">
      <alignment horizontal="center"/>
      <protection locked="0" hidden="1"/>
    </xf>
    <xf numFmtId="0" fontId="3" fillId="4" borderId="147" xfId="0" applyFont="1" applyFill="1" applyBorder="1" applyAlignment="1" applyProtection="1">
      <alignment horizontal="center"/>
      <protection locked="0" hidden="1"/>
    </xf>
    <xf numFmtId="164" fontId="3" fillId="3" borderId="87" xfId="0" applyNumberFormat="1" applyFont="1" applyFill="1" applyBorder="1" applyAlignment="1" applyProtection="1">
      <alignment horizontal="center"/>
      <protection locked="0" hidden="1"/>
    </xf>
    <xf numFmtId="164" fontId="3" fillId="3" borderId="16" xfId="0" applyNumberFormat="1" applyFont="1" applyFill="1" applyBorder="1" applyAlignment="1" applyProtection="1">
      <alignment horizontal="center"/>
      <protection locked="0" hidden="1"/>
    </xf>
    <xf numFmtId="164" fontId="3" fillId="3" borderId="52" xfId="0" applyNumberFormat="1" applyFont="1" applyFill="1" applyBorder="1" applyAlignment="1" applyProtection="1">
      <alignment horizontal="center"/>
      <protection locked="0" hidden="1"/>
    </xf>
    <xf numFmtId="0" fontId="3" fillId="4" borderId="113" xfId="0" applyFont="1" applyFill="1" applyBorder="1" applyAlignment="1" applyProtection="1">
      <alignment horizontal="center"/>
      <protection locked="0" hidden="1"/>
    </xf>
    <xf numFmtId="0" fontId="3" fillId="4" borderId="148" xfId="0" applyFont="1" applyFill="1" applyBorder="1" applyAlignment="1" applyProtection="1">
      <alignment horizontal="center"/>
      <protection locked="0" hidden="1"/>
    </xf>
    <xf numFmtId="0" fontId="3" fillId="3" borderId="149" xfId="0" applyFont="1" applyFill="1" applyBorder="1" applyAlignment="1" applyProtection="1">
      <alignment horizontal="center"/>
      <protection locked="0" hidden="1"/>
    </xf>
    <xf numFmtId="0" fontId="3" fillId="3" borderId="150" xfId="0" applyFont="1" applyFill="1" applyBorder="1" applyAlignment="1" applyProtection="1">
      <alignment horizontal="center"/>
      <protection locked="0" hidden="1"/>
    </xf>
    <xf numFmtId="0" fontId="3" fillId="3" borderId="151" xfId="0" applyFont="1" applyFill="1" applyBorder="1" applyAlignment="1" applyProtection="1">
      <alignment horizontal="center"/>
      <protection locked="0" hidden="1"/>
    </xf>
    <xf numFmtId="0" fontId="3" fillId="3" borderId="111" xfId="0" applyFont="1" applyFill="1" applyBorder="1" applyAlignment="1" applyProtection="1">
      <alignment horizontal="center"/>
      <protection locked="0" hidden="1"/>
    </xf>
    <xf numFmtId="0" fontId="3" fillId="3" borderId="60" xfId="0" applyFont="1" applyFill="1" applyBorder="1" applyAlignment="1" applyProtection="1">
      <alignment horizontal="center"/>
      <protection locked="0" hidden="1"/>
    </xf>
    <xf numFmtId="0" fontId="3" fillId="3" borderId="114" xfId="0" applyFont="1" applyFill="1" applyBorder="1" applyAlignment="1" applyProtection="1">
      <alignment horizontal="center"/>
      <protection locked="0" hidden="1"/>
    </xf>
    <xf numFmtId="0" fontId="3" fillId="3" borderId="148" xfId="0" applyFont="1" applyFill="1" applyBorder="1" applyAlignment="1" applyProtection="1">
      <alignment horizontal="center"/>
      <protection locked="0" hidden="1"/>
    </xf>
    <xf numFmtId="0" fontId="3" fillId="3" borderId="110" xfId="0" applyFont="1" applyFill="1" applyBorder="1" applyAlignment="1" applyProtection="1">
      <alignment horizontal="center"/>
      <protection locked="0" hidden="1"/>
    </xf>
    <xf numFmtId="0" fontId="3" fillId="3" borderId="86" xfId="0" applyFont="1" applyFill="1" applyBorder="1" applyAlignment="1" applyProtection="1">
      <alignment horizontal="center"/>
      <protection locked="0" hidden="1"/>
    </xf>
    <xf numFmtId="0" fontId="3" fillId="3" borderId="123" xfId="0" applyFont="1" applyFill="1" applyBorder="1" applyAlignment="1" applyProtection="1">
      <alignment horizontal="center"/>
      <protection locked="0" hidden="1"/>
    </xf>
    <xf numFmtId="0" fontId="3" fillId="3" borderId="69" xfId="0" applyFont="1" applyFill="1" applyBorder="1" applyAlignment="1" applyProtection="1">
      <alignment horizontal="center"/>
      <protection locked="0" hidden="1"/>
    </xf>
    <xf numFmtId="0" fontId="3" fillId="4" borderId="77" xfId="0" applyFont="1" applyFill="1" applyBorder="1" applyAlignment="1" applyProtection="1">
      <alignment horizontal="center"/>
      <protection locked="0" hidden="1"/>
    </xf>
    <xf numFmtId="0" fontId="3" fillId="4" borderId="7" xfId="0" applyFont="1" applyFill="1" applyBorder="1" applyAlignment="1" applyProtection="1">
      <alignment horizontal="center"/>
      <protection locked="0" hidden="1"/>
    </xf>
    <xf numFmtId="0" fontId="3" fillId="4" borderId="16" xfId="0" applyFont="1" applyFill="1" applyBorder="1" applyAlignment="1" applyProtection="1">
      <alignment horizontal="center"/>
      <protection locked="0" hidden="1"/>
    </xf>
    <xf numFmtId="0" fontId="3" fillId="4" borderId="52" xfId="0" applyFont="1" applyFill="1" applyBorder="1" applyAlignment="1" applyProtection="1">
      <alignment horizontal="center"/>
      <protection locked="0" hidden="1"/>
    </xf>
    <xf numFmtId="0" fontId="3" fillId="3" borderId="0" xfId="0" applyFont="1" applyFill="1" applyBorder="1" applyAlignment="1" applyProtection="1">
      <alignment horizontal="center"/>
      <protection locked="0" hidden="1"/>
    </xf>
    <xf numFmtId="0" fontId="3" fillId="3" borderId="17" xfId="0" applyFont="1" applyFill="1" applyBorder="1" applyAlignment="1" applyProtection="1">
      <alignment horizontal="center"/>
      <protection locked="0" hidden="1"/>
    </xf>
    <xf numFmtId="0" fontId="3" fillId="3" borderId="63" xfId="0" applyFont="1" applyFill="1" applyBorder="1" applyAlignment="1" applyProtection="1">
      <alignment horizontal="center"/>
      <protection locked="0" hidden="1"/>
    </xf>
    <xf numFmtId="9" fontId="3" fillId="3" borderId="152" xfId="0" applyNumberFormat="1" applyFont="1" applyFill="1" applyBorder="1" applyAlignment="1" applyProtection="1">
      <alignment horizontal="center"/>
      <protection locked="0" hidden="1"/>
    </xf>
    <xf numFmtId="9" fontId="3" fillId="3" borderId="153" xfId="0" applyNumberFormat="1" applyFont="1" applyFill="1" applyBorder="1" applyAlignment="1" applyProtection="1">
      <alignment horizontal="center"/>
      <protection locked="0" hidden="1"/>
    </xf>
    <xf numFmtId="9" fontId="3" fillId="3" borderId="154" xfId="0" applyNumberFormat="1" applyFont="1" applyFill="1" applyBorder="1" applyAlignment="1" applyProtection="1">
      <alignment horizontal="center"/>
      <protection locked="0" hidden="1"/>
    </xf>
    <xf numFmtId="14" fontId="3" fillId="3" borderId="94" xfId="0" applyNumberFormat="1" applyFont="1" applyFill="1" applyBorder="1" applyAlignment="1" applyProtection="1">
      <alignment horizontal="center"/>
      <protection locked="0" hidden="1"/>
    </xf>
    <xf numFmtId="0" fontId="1" fillId="3" borderId="16" xfId="0" applyFont="1" applyFill="1" applyBorder="1" applyAlignment="1" applyProtection="1">
      <protection locked="0" hidden="1"/>
    </xf>
    <xf numFmtId="0" fontId="6" fillId="3" borderId="155" xfId="2" applyFont="1" applyFill="1" applyBorder="1" applyAlignment="1" applyProtection="1">
      <alignment horizontal="center"/>
      <protection locked="0" hidden="1"/>
    </xf>
    <xf numFmtId="0" fontId="6" fillId="3" borderId="61" xfId="2" applyFont="1" applyFill="1" applyBorder="1" applyAlignment="1" applyProtection="1">
      <alignment horizontal="center"/>
      <protection locked="0" hidden="1"/>
    </xf>
    <xf numFmtId="0" fontId="6" fillId="3" borderId="135" xfId="2" applyFont="1" applyFill="1" applyBorder="1" applyAlignment="1" applyProtection="1">
      <alignment horizontal="center"/>
      <protection locked="0" hidden="1"/>
    </xf>
    <xf numFmtId="0" fontId="19" fillId="3" borderId="151" xfId="2" applyFill="1" applyBorder="1" applyProtection="1">
      <protection locked="0" hidden="1"/>
    </xf>
    <xf numFmtId="3" fontId="6" fillId="3" borderId="156" xfId="2" applyNumberFormat="1" applyFont="1" applyFill="1" applyBorder="1" applyAlignment="1" applyProtection="1">
      <alignment horizontal="center"/>
      <protection locked="0" hidden="1"/>
    </xf>
    <xf numFmtId="0" fontId="6" fillId="3" borderId="157" xfId="2" applyFont="1" applyFill="1" applyBorder="1" applyAlignment="1" applyProtection="1">
      <alignment horizontal="center"/>
      <protection locked="0" hidden="1"/>
    </xf>
    <xf numFmtId="0" fontId="6" fillId="3" borderId="158" xfId="2" applyFont="1" applyFill="1" applyBorder="1" applyAlignment="1" applyProtection="1">
      <alignment horizontal="center"/>
      <protection locked="0" hidden="1"/>
    </xf>
    <xf numFmtId="0" fontId="6" fillId="3" borderId="159" xfId="2" applyFont="1" applyFill="1" applyBorder="1" applyAlignment="1" applyProtection="1">
      <alignment horizontal="center"/>
      <protection locked="0" hidden="1"/>
    </xf>
    <xf numFmtId="0" fontId="6" fillId="3" borderId="72" xfId="2" applyFont="1" applyFill="1" applyBorder="1" applyAlignment="1" applyProtection="1">
      <alignment horizontal="center"/>
      <protection locked="0" hidden="1"/>
    </xf>
    <xf numFmtId="0" fontId="6" fillId="3" borderId="156" xfId="2" applyFont="1" applyFill="1" applyBorder="1" applyAlignment="1" applyProtection="1">
      <alignment horizontal="center"/>
      <protection locked="0" hidden="1"/>
    </xf>
    <xf numFmtId="49" fontId="6" fillId="3" borderId="139" xfId="2" applyNumberFormat="1" applyFont="1" applyFill="1" applyBorder="1" applyAlignment="1" applyProtection="1">
      <alignment horizontal="right"/>
      <protection locked="0" hidden="1"/>
    </xf>
    <xf numFmtId="0" fontId="18" fillId="3" borderId="160" xfId="2" applyFont="1" applyFill="1" applyBorder="1" applyAlignment="1" applyProtection="1">
      <alignment horizontal="right"/>
      <protection locked="0" hidden="1"/>
    </xf>
    <xf numFmtId="3" fontId="18" fillId="3" borderId="116" xfId="2" applyNumberFormat="1" applyFont="1" applyFill="1" applyBorder="1" applyAlignment="1" applyProtection="1">
      <alignment horizontal="right"/>
      <protection locked="0" hidden="1"/>
    </xf>
    <xf numFmtId="3" fontId="18" fillId="3" borderId="87" xfId="2" applyNumberFormat="1" applyFont="1" applyFill="1" applyBorder="1" applyAlignment="1" applyProtection="1">
      <alignment horizontal="right"/>
      <protection locked="0" hidden="1"/>
    </xf>
    <xf numFmtId="3" fontId="18" fillId="3" borderId="86" xfId="2" applyNumberFormat="1" applyFont="1" applyFill="1" applyBorder="1" applyAlignment="1" applyProtection="1">
      <alignment horizontal="right"/>
      <protection locked="0" hidden="1"/>
    </xf>
    <xf numFmtId="49" fontId="6" fillId="3" borderId="140" xfId="2" applyNumberFormat="1" applyFont="1" applyFill="1" applyBorder="1" applyAlignment="1" applyProtection="1">
      <alignment horizontal="right"/>
      <protection locked="0" hidden="1"/>
    </xf>
    <xf numFmtId="0" fontId="18" fillId="3" borderId="18" xfId="2" applyFont="1" applyFill="1" applyBorder="1" applyAlignment="1" applyProtection="1">
      <alignment horizontal="right"/>
      <protection locked="0" hidden="1"/>
    </xf>
    <xf numFmtId="3" fontId="18" fillId="3" borderId="118" xfId="2" applyNumberFormat="1" applyFont="1" applyFill="1" applyBorder="1" applyAlignment="1" applyProtection="1">
      <alignment horizontal="right"/>
      <protection locked="0" hidden="1"/>
    </xf>
    <xf numFmtId="3" fontId="18" fillId="3" borderId="16" xfId="2" applyNumberFormat="1" applyFont="1" applyFill="1" applyBorder="1" applyAlignment="1" applyProtection="1">
      <alignment horizontal="right"/>
      <protection locked="0" hidden="1"/>
    </xf>
    <xf numFmtId="3" fontId="18" fillId="3" borderId="1" xfId="2" applyNumberFormat="1" applyFont="1" applyFill="1" applyBorder="1" applyAlignment="1" applyProtection="1">
      <alignment horizontal="right"/>
      <protection locked="0" hidden="1"/>
    </xf>
    <xf numFmtId="49" fontId="2" fillId="3" borderId="140" xfId="2" applyNumberFormat="1" applyFont="1" applyFill="1" applyBorder="1" applyAlignment="1" applyProtection="1">
      <alignment horizontal="right"/>
      <protection locked="0" hidden="1"/>
    </xf>
    <xf numFmtId="49" fontId="6" fillId="3" borderId="161" xfId="2" applyNumberFormat="1" applyFont="1" applyFill="1" applyBorder="1" applyAlignment="1" applyProtection="1">
      <alignment horizontal="right"/>
      <protection locked="0" hidden="1"/>
    </xf>
    <xf numFmtId="0" fontId="18" fillId="3" borderId="34" xfId="2" applyFont="1" applyFill="1" applyBorder="1" applyAlignment="1" applyProtection="1">
      <alignment horizontal="right"/>
      <protection locked="0" hidden="1"/>
    </xf>
    <xf numFmtId="3" fontId="18" fillId="3" borderId="88" xfId="2" applyNumberFormat="1" applyFont="1" applyFill="1" applyBorder="1" applyAlignment="1" applyProtection="1">
      <alignment horizontal="right"/>
      <protection locked="0" hidden="1"/>
    </xf>
    <xf numFmtId="3" fontId="18" fillId="3" borderId="24" xfId="2" applyNumberFormat="1" applyFont="1" applyFill="1" applyBorder="1" applyAlignment="1" applyProtection="1">
      <alignment horizontal="right"/>
      <protection locked="0" hidden="1"/>
    </xf>
    <xf numFmtId="3" fontId="18" fillId="3" borderId="162" xfId="2" applyNumberFormat="1" applyFont="1" applyFill="1" applyBorder="1" applyAlignment="1" applyProtection="1">
      <alignment horizontal="right"/>
      <protection locked="0" hidden="1"/>
    </xf>
    <xf numFmtId="0" fontId="19" fillId="0" borderId="0" xfId="2" applyProtection="1">
      <protection hidden="1"/>
    </xf>
    <xf numFmtId="0" fontId="8" fillId="0" borderId="0" xfId="2" applyFont="1" applyProtection="1">
      <protection hidden="1"/>
    </xf>
    <xf numFmtId="0" fontId="20" fillId="0" borderId="0" xfId="2" applyFont="1" applyProtection="1">
      <protection hidden="1"/>
    </xf>
    <xf numFmtId="0" fontId="4" fillId="0" borderId="0" xfId="2" applyFont="1" applyAlignment="1" applyProtection="1">
      <alignment horizontal="right"/>
      <protection hidden="1"/>
    </xf>
    <xf numFmtId="0" fontId="1" fillId="0" borderId="0" xfId="2" applyFont="1" applyAlignment="1" applyProtection="1">
      <alignment horizontal="right"/>
      <protection hidden="1"/>
    </xf>
    <xf numFmtId="0" fontId="6" fillId="0" borderId="36" xfId="2" applyFont="1" applyBorder="1" applyAlignment="1" applyProtection="1">
      <alignment horizontal="center"/>
      <protection hidden="1"/>
    </xf>
    <xf numFmtId="0" fontId="19" fillId="0" borderId="0" xfId="2" applyFill="1" applyProtection="1">
      <protection hidden="1"/>
    </xf>
    <xf numFmtId="0" fontId="1" fillId="0" borderId="0" xfId="2" applyFont="1" applyAlignment="1" applyProtection="1">
      <alignment horizontal="right" vertical="top"/>
      <protection hidden="1"/>
    </xf>
    <xf numFmtId="0" fontId="18" fillId="0" borderId="163" xfId="2" applyFont="1" applyBorder="1" applyAlignment="1" applyProtection="1">
      <alignment horizontal="right"/>
      <protection hidden="1"/>
    </xf>
    <xf numFmtId="0" fontId="6" fillId="0" borderId="25" xfId="2" applyFont="1" applyFill="1" applyBorder="1" applyAlignment="1" applyProtection="1">
      <alignment horizontal="left"/>
      <protection hidden="1"/>
    </xf>
    <xf numFmtId="0" fontId="4" fillId="0" borderId="0" xfId="2" applyFont="1" applyFill="1" applyAlignment="1" applyProtection="1">
      <alignment horizontal="right"/>
      <protection hidden="1"/>
    </xf>
    <xf numFmtId="14" fontId="6" fillId="0" borderId="25" xfId="2" applyNumberFormat="1" applyFont="1" applyFill="1" applyBorder="1" applyAlignment="1" applyProtection="1">
      <alignment horizontal="left"/>
      <protection hidden="1"/>
    </xf>
    <xf numFmtId="0" fontId="1" fillId="0" borderId="0" xfId="2" applyFont="1" applyAlignment="1" applyProtection="1">
      <alignment horizontal="left"/>
      <protection hidden="1"/>
    </xf>
    <xf numFmtId="0" fontId="18" fillId="0" borderId="164" xfId="2" applyFont="1" applyBorder="1" applyAlignment="1" applyProtection="1">
      <alignment horizontal="right"/>
      <protection hidden="1"/>
    </xf>
    <xf numFmtId="0" fontId="19" fillId="0" borderId="0" xfId="2" applyAlignment="1" applyProtection="1">
      <alignment horizontal="left"/>
      <protection hidden="1"/>
    </xf>
    <xf numFmtId="0" fontId="2" fillId="0" borderId="0" xfId="2" applyFont="1" applyProtection="1">
      <protection hidden="1"/>
    </xf>
    <xf numFmtId="0" fontId="4" fillId="0" borderId="0" xfId="2" applyFont="1" applyProtection="1">
      <protection hidden="1"/>
    </xf>
    <xf numFmtId="0" fontId="18" fillId="0" borderId="165" xfId="2" applyFont="1" applyBorder="1" applyAlignment="1" applyProtection="1">
      <alignment horizontal="right"/>
      <protection hidden="1"/>
    </xf>
    <xf numFmtId="0" fontId="19" fillId="0" borderId="0" xfId="2" applyAlignment="1" applyProtection="1">
      <alignment horizontal="right"/>
      <protection hidden="1"/>
    </xf>
    <xf numFmtId="0" fontId="18" fillId="0" borderId="166" xfId="2" applyFont="1" applyFill="1" applyBorder="1" applyAlignment="1" applyProtection="1">
      <alignment horizontal="right"/>
      <protection hidden="1"/>
    </xf>
    <xf numFmtId="0" fontId="4" fillId="0" borderId="127" xfId="2" applyFont="1" applyBorder="1" applyProtection="1">
      <protection hidden="1"/>
    </xf>
    <xf numFmtId="0" fontId="19" fillId="0" borderId="127" xfId="2" applyBorder="1" applyProtection="1">
      <protection hidden="1"/>
    </xf>
    <xf numFmtId="0" fontId="19" fillId="0" borderId="167" xfId="2" applyBorder="1" applyAlignment="1" applyProtection="1">
      <alignment horizontal="right"/>
      <protection hidden="1"/>
    </xf>
    <xf numFmtId="0" fontId="19" fillId="0" borderId="168" xfId="2" applyBorder="1" applyProtection="1">
      <protection hidden="1"/>
    </xf>
    <xf numFmtId="0" fontId="19" fillId="0" borderId="169" xfId="2" applyBorder="1" applyProtection="1">
      <protection hidden="1"/>
    </xf>
    <xf numFmtId="0" fontId="4" fillId="0" borderId="72" xfId="2" applyFont="1" applyBorder="1" applyProtection="1">
      <protection hidden="1"/>
    </xf>
    <xf numFmtId="0" fontId="18" fillId="0" borderId="170" xfId="2" applyFont="1" applyBorder="1" applyAlignment="1" applyProtection="1">
      <alignment horizontal="right"/>
      <protection hidden="1"/>
    </xf>
    <xf numFmtId="0" fontId="18" fillId="0" borderId="171" xfId="2" applyFont="1" applyBorder="1" applyAlignment="1" applyProtection="1">
      <alignment horizontal="right"/>
      <protection hidden="1"/>
    </xf>
    <xf numFmtId="0" fontId="6" fillId="0" borderId="67" xfId="2" applyFont="1" applyBorder="1" applyAlignment="1" applyProtection="1">
      <alignment horizontal="center"/>
      <protection hidden="1"/>
    </xf>
    <xf numFmtId="0" fontId="6" fillId="2" borderId="39" xfId="2" applyFont="1" applyFill="1" applyBorder="1" applyAlignment="1" applyProtection="1">
      <alignment horizontal="center"/>
      <protection hidden="1"/>
    </xf>
    <xf numFmtId="0" fontId="6" fillId="2" borderId="40" xfId="2" applyFont="1" applyFill="1" applyBorder="1" applyAlignment="1" applyProtection="1">
      <alignment horizontal="center"/>
      <protection hidden="1"/>
    </xf>
    <xf numFmtId="0" fontId="18" fillId="0" borderId="0" xfId="2" applyFont="1" applyProtection="1">
      <protection hidden="1"/>
    </xf>
    <xf numFmtId="0" fontId="6" fillId="0" borderId="172" xfId="2" applyFont="1" applyBorder="1" applyAlignment="1" applyProtection="1">
      <alignment horizontal="right"/>
      <protection hidden="1"/>
    </xf>
    <xf numFmtId="0" fontId="6" fillId="0" borderId="26" xfId="2" applyFont="1" applyBorder="1" applyAlignment="1" applyProtection="1">
      <alignment horizontal="right"/>
      <protection hidden="1"/>
    </xf>
    <xf numFmtId="3" fontId="6" fillId="0" borderId="26" xfId="2" applyNumberFormat="1" applyFont="1" applyBorder="1" applyAlignment="1" applyProtection="1">
      <alignment horizontal="right"/>
      <protection hidden="1"/>
    </xf>
    <xf numFmtId="3" fontId="6" fillId="0" borderId="173" xfId="2" applyNumberFormat="1" applyFont="1" applyBorder="1" applyAlignment="1" applyProtection="1">
      <alignment horizontal="right"/>
      <protection hidden="1"/>
    </xf>
    <xf numFmtId="3" fontId="6" fillId="2" borderId="174" xfId="2" applyNumberFormat="1" applyFont="1" applyFill="1" applyBorder="1" applyAlignment="1" applyProtection="1">
      <alignment horizontal="right"/>
      <protection hidden="1"/>
    </xf>
    <xf numFmtId="3" fontId="6" fillId="2" borderId="150" xfId="2" applyNumberFormat="1" applyFont="1" applyFill="1" applyBorder="1" applyAlignment="1" applyProtection="1">
      <alignment horizontal="right"/>
      <protection hidden="1"/>
    </xf>
    <xf numFmtId="3" fontId="6" fillId="0" borderId="175" xfId="2" applyNumberFormat="1" applyFont="1" applyBorder="1" applyAlignment="1" applyProtection="1">
      <alignment horizontal="right"/>
      <protection hidden="1"/>
    </xf>
    <xf numFmtId="3" fontId="6" fillId="0" borderId="63" xfId="2" applyNumberFormat="1" applyFont="1" applyBorder="1" applyAlignment="1" applyProtection="1">
      <alignment horizontal="right"/>
      <protection hidden="1"/>
    </xf>
    <xf numFmtId="3" fontId="6" fillId="0" borderId="65" xfId="2" applyNumberFormat="1" applyFont="1" applyBorder="1" applyAlignment="1" applyProtection="1">
      <alignment horizontal="right"/>
      <protection hidden="1"/>
    </xf>
    <xf numFmtId="3" fontId="6" fillId="0" borderId="72" xfId="2" applyNumberFormat="1" applyFont="1" applyBorder="1" applyAlignment="1" applyProtection="1">
      <alignment horizontal="right"/>
      <protection hidden="1"/>
    </xf>
    <xf numFmtId="0" fontId="2" fillId="0" borderId="0" xfId="0" applyFont="1" applyFill="1" applyAlignment="1" applyProtection="1">
      <protection hidden="1"/>
    </xf>
    <xf numFmtId="0" fontId="0" fillId="0" borderId="0" xfId="0" applyAlignment="1" applyProtection="1">
      <protection hidden="1"/>
    </xf>
    <xf numFmtId="0" fontId="0" fillId="0" borderId="8" xfId="0" applyBorder="1" applyAlignment="1" applyProtection="1">
      <protection hidden="1"/>
    </xf>
    <xf numFmtId="0" fontId="2" fillId="0" borderId="0" xfId="0" applyFont="1" applyBorder="1" applyAlignment="1" applyProtection="1">
      <alignment horizontal="center"/>
      <protection hidden="1"/>
    </xf>
    <xf numFmtId="0" fontId="0" fillId="0" borderId="60" xfId="0" applyBorder="1" applyAlignment="1" applyProtection="1">
      <alignment horizontal="center"/>
      <protection hidden="1"/>
    </xf>
    <xf numFmtId="0" fontId="2" fillId="0" borderId="11" xfId="0" applyFont="1" applyBorder="1" applyAlignment="1" applyProtection="1">
      <alignment horizontal="center"/>
      <protection hidden="1"/>
    </xf>
    <xf numFmtId="0" fontId="0" fillId="0" borderId="176" xfId="0" applyBorder="1" applyAlignment="1" applyProtection="1">
      <alignment horizontal="center"/>
      <protection hidden="1"/>
    </xf>
    <xf numFmtId="0" fontId="4" fillId="0" borderId="0" xfId="0" applyFont="1" applyBorder="1" applyAlignment="1" applyProtection="1">
      <alignment horizontal="left" wrapText="1"/>
      <protection hidden="1"/>
    </xf>
    <xf numFmtId="0" fontId="2" fillId="0" borderId="112" xfId="0" applyFont="1" applyBorder="1" applyAlignment="1" applyProtection="1">
      <alignment horizontal="center"/>
      <protection hidden="1"/>
    </xf>
    <xf numFmtId="0" fontId="2" fillId="0" borderId="119" xfId="0" applyFont="1" applyBorder="1" applyAlignment="1" applyProtection="1">
      <alignment horizontal="center"/>
      <protection hidden="1"/>
    </xf>
    <xf numFmtId="0" fontId="3" fillId="3" borderId="38" xfId="0" applyFont="1" applyFill="1" applyBorder="1" applyAlignment="1" applyProtection="1">
      <alignment horizontal="left"/>
      <protection locked="0" hidden="1"/>
    </xf>
    <xf numFmtId="0" fontId="3" fillId="3" borderId="25" xfId="0" applyFont="1" applyFill="1" applyBorder="1" applyAlignment="1" applyProtection="1">
      <alignment horizontal="left"/>
      <protection locked="0" hidden="1"/>
    </xf>
    <xf numFmtId="0" fontId="3" fillId="3" borderId="62" xfId="0" applyFont="1" applyFill="1" applyBorder="1" applyAlignment="1" applyProtection="1">
      <alignment horizontal="left"/>
      <protection locked="0" hidden="1"/>
    </xf>
    <xf numFmtId="3" fontId="3" fillId="3" borderId="177" xfId="0" applyNumberFormat="1" applyFont="1" applyFill="1" applyBorder="1" applyAlignment="1" applyProtection="1">
      <alignment horizontal="center"/>
      <protection locked="0" hidden="1"/>
    </xf>
    <xf numFmtId="3" fontId="3" fillId="3" borderId="89" xfId="0" applyNumberFormat="1" applyFont="1" applyFill="1" applyBorder="1" applyAlignment="1" applyProtection="1">
      <alignment horizontal="center"/>
      <protection locked="0" hidden="1"/>
    </xf>
    <xf numFmtId="49" fontId="3" fillId="4" borderId="76" xfId="0" applyNumberFormat="1" applyFont="1" applyFill="1" applyBorder="1" applyAlignment="1" applyProtection="1">
      <alignment horizontal="left"/>
      <protection locked="0" hidden="1"/>
    </xf>
    <xf numFmtId="49" fontId="3" fillId="4" borderId="84" xfId="0" applyNumberFormat="1" applyFont="1" applyFill="1" applyBorder="1" applyAlignment="1" applyProtection="1">
      <alignment horizontal="left"/>
      <protection locked="0" hidden="1"/>
    </xf>
    <xf numFmtId="0" fontId="2" fillId="0" borderId="124" xfId="0" applyFont="1" applyBorder="1" applyAlignment="1" applyProtection="1">
      <alignment horizontal="center"/>
      <protection hidden="1"/>
    </xf>
    <xf numFmtId="0" fontId="2" fillId="0" borderId="14" xfId="0" applyFont="1" applyBorder="1" applyAlignment="1" applyProtection="1">
      <alignment horizontal="center"/>
      <protection hidden="1"/>
    </xf>
    <xf numFmtId="0" fontId="2" fillId="0" borderId="178" xfId="0" applyFont="1" applyBorder="1" applyAlignment="1" applyProtection="1">
      <alignment horizontal="right"/>
      <protection hidden="1"/>
    </xf>
    <xf numFmtId="0" fontId="2" fillId="0" borderId="179" xfId="0" applyFont="1" applyBorder="1" applyAlignment="1" applyProtection="1">
      <alignment horizontal="right"/>
      <protection hidden="1"/>
    </xf>
    <xf numFmtId="0" fontId="2" fillId="4" borderId="76" xfId="0" applyFont="1" applyFill="1" applyBorder="1" applyAlignment="1" applyProtection="1">
      <protection locked="0" hidden="1"/>
    </xf>
    <xf numFmtId="0" fontId="0" fillId="4" borderId="78" xfId="0" applyFill="1" applyBorder="1" applyAlignment="1" applyProtection="1">
      <protection locked="0" hidden="1"/>
    </xf>
    <xf numFmtId="0" fontId="0" fillId="4" borderId="79" xfId="0" applyFill="1" applyBorder="1" applyAlignment="1" applyProtection="1">
      <protection locked="0" hidden="1"/>
    </xf>
    <xf numFmtId="0" fontId="2" fillId="0" borderId="4" xfId="0" applyFont="1" applyBorder="1" applyAlignment="1" applyProtection="1">
      <alignment horizontal="center"/>
      <protection hidden="1"/>
    </xf>
    <xf numFmtId="0" fontId="2" fillId="0" borderId="180" xfId="0" applyFont="1" applyBorder="1" applyAlignment="1" applyProtection="1">
      <alignment horizontal="center"/>
      <protection hidden="1"/>
    </xf>
    <xf numFmtId="0" fontId="3" fillId="3" borderId="177" xfId="0" applyFont="1" applyFill="1" applyBorder="1" applyAlignment="1" applyProtection="1">
      <alignment horizontal="center"/>
      <protection locked="0" hidden="1"/>
    </xf>
    <xf numFmtId="0" fontId="3" fillId="3" borderId="181" xfId="0" applyFont="1" applyFill="1" applyBorder="1" applyAlignment="1" applyProtection="1">
      <alignment horizontal="center"/>
      <protection locked="0" hidden="1"/>
    </xf>
    <xf numFmtId="0" fontId="3" fillId="4" borderId="76" xfId="0" applyFont="1" applyFill="1" applyBorder="1" applyAlignment="1" applyProtection="1">
      <alignment horizontal="center"/>
      <protection locked="0" hidden="1"/>
    </xf>
    <xf numFmtId="0" fontId="3" fillId="4" borderId="79" xfId="0" applyFont="1" applyFill="1" applyBorder="1" applyAlignment="1" applyProtection="1">
      <alignment horizontal="center"/>
      <protection locked="0" hidden="1"/>
    </xf>
    <xf numFmtId="0" fontId="2" fillId="0" borderId="0" xfId="0" applyFont="1" applyBorder="1" applyAlignment="1" applyProtection="1">
      <alignment horizontal="right"/>
      <protection hidden="1"/>
    </xf>
    <xf numFmtId="0" fontId="2" fillId="0" borderId="21" xfId="0" applyFont="1" applyBorder="1" applyAlignment="1" applyProtection="1">
      <alignment horizontal="right"/>
      <protection hidden="1"/>
    </xf>
    <xf numFmtId="0" fontId="2" fillId="0" borderId="31" xfId="0" applyFont="1" applyBorder="1" applyAlignment="1" applyProtection="1">
      <alignment horizontal="center"/>
      <protection hidden="1"/>
    </xf>
    <xf numFmtId="0" fontId="2" fillId="0" borderId="31" xfId="0" applyFont="1" applyBorder="1" applyAlignment="1" applyProtection="1">
      <alignment horizontal="left"/>
      <protection hidden="1"/>
    </xf>
    <xf numFmtId="0" fontId="2" fillId="2" borderId="31" xfId="0" applyFont="1" applyFill="1" applyBorder="1" applyAlignment="1" applyProtection="1">
      <alignment horizontal="left"/>
      <protection hidden="1"/>
    </xf>
    <xf numFmtId="0" fontId="0" fillId="0" borderId="31" xfId="0" applyBorder="1" applyAlignment="1" applyProtection="1">
      <alignment horizontal="left"/>
      <protection hidden="1"/>
    </xf>
    <xf numFmtId="0" fontId="2" fillId="2" borderId="17" xfId="0" applyFont="1" applyFill="1" applyBorder="1" applyAlignment="1" applyProtection="1">
      <alignment horizontal="left"/>
      <protection hidden="1"/>
    </xf>
    <xf numFmtId="0" fontId="0" fillId="0" borderId="17" xfId="0" applyBorder="1" applyAlignment="1" applyProtection="1">
      <alignment horizontal="left"/>
      <protection hidden="1"/>
    </xf>
    <xf numFmtId="0" fontId="1" fillId="3" borderId="16" xfId="0" applyFont="1" applyFill="1" applyBorder="1" applyAlignment="1" applyProtection="1">
      <alignment horizontal="center"/>
      <protection locked="0" hidden="1"/>
    </xf>
    <xf numFmtId="0" fontId="6" fillId="0" borderId="70" xfId="2" applyFont="1" applyBorder="1" applyAlignment="1" applyProtection="1">
      <alignment horizontal="center"/>
      <protection hidden="1"/>
    </xf>
    <xf numFmtId="0" fontId="6" fillId="0" borderId="62" xfId="2" applyFont="1" applyBorder="1" applyAlignment="1" applyProtection="1">
      <alignment horizontal="center"/>
      <protection hidden="1"/>
    </xf>
    <xf numFmtId="0" fontId="6" fillId="0" borderId="36" xfId="2" applyFont="1" applyBorder="1" applyAlignment="1" applyProtection="1">
      <alignment horizontal="center"/>
      <protection hidden="1"/>
    </xf>
    <xf numFmtId="0" fontId="6" fillId="0" borderId="54" xfId="2" applyFont="1" applyBorder="1" applyAlignment="1" applyProtection="1">
      <alignment horizontal="center"/>
      <protection hidden="1"/>
    </xf>
    <xf numFmtId="0" fontId="20" fillId="0" borderId="0" xfId="2" applyFont="1" applyAlignment="1" applyProtection="1">
      <alignment horizontal="center"/>
      <protection hidden="1"/>
    </xf>
    <xf numFmtId="0" fontId="6" fillId="0" borderId="4" xfId="2" applyFont="1" applyBorder="1" applyAlignment="1" applyProtection="1">
      <alignment horizontal="right"/>
      <protection hidden="1"/>
    </xf>
    <xf numFmtId="0" fontId="6" fillId="0" borderId="63" xfId="2" applyFont="1" applyBorder="1" applyAlignment="1" applyProtection="1">
      <alignment horizontal="right"/>
      <protection hidden="1"/>
    </xf>
    <xf numFmtId="0" fontId="6" fillId="0" borderId="2" xfId="2" applyFont="1" applyBorder="1" applyAlignment="1" applyProtection="1">
      <alignment horizontal="right"/>
      <protection hidden="1"/>
    </xf>
    <xf numFmtId="0" fontId="6" fillId="0" borderId="0" xfId="2" applyFont="1" applyBorder="1" applyAlignment="1" applyProtection="1">
      <alignment horizontal="right"/>
      <protection hidden="1"/>
    </xf>
    <xf numFmtId="0" fontId="4" fillId="0" borderId="36" xfId="2" applyFont="1" applyBorder="1" applyAlignment="1" applyProtection="1">
      <alignment horizontal="right"/>
      <protection hidden="1"/>
    </xf>
    <xf numFmtId="0" fontId="4" fillId="0" borderId="37" xfId="2" applyFont="1" applyBorder="1" applyAlignment="1" applyProtection="1">
      <alignment horizontal="right"/>
      <protection hidden="1"/>
    </xf>
    <xf numFmtId="0" fontId="6" fillId="0" borderId="25" xfId="2" applyFont="1" applyFill="1" applyBorder="1" applyAlignment="1" applyProtection="1">
      <alignment horizontal="center"/>
      <protection hidden="1"/>
    </xf>
  </cellXfs>
  <cellStyles count="3">
    <cellStyle name="Normal" xfId="0" builtinId="0"/>
    <cellStyle name="Normal_Input" xfId="1"/>
    <cellStyle name="Normal_Summary 200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600" b="1" i="0" u="none" strike="noStrike" baseline="0">
                <a:solidFill>
                  <a:srgbClr val="000000"/>
                </a:solidFill>
                <a:latin typeface="Arial"/>
                <a:ea typeface="Arial"/>
                <a:cs typeface="Arial"/>
              </a:defRPr>
            </a:pPr>
            <a:r>
              <a:rPr lang="en-US"/>
              <a:t>Estimated soil test ppm at the beginning of each year in the plan</a:t>
            </a:r>
          </a:p>
        </c:rich>
      </c:tx>
      <c:layout>
        <c:manualLayout>
          <c:xMode val="edge"/>
          <c:yMode val="edge"/>
          <c:x val="0.13762486126526083"/>
          <c:y val="1.9639934533551555E-2"/>
        </c:manualLayout>
      </c:layout>
      <c:overlay val="0"/>
      <c:spPr>
        <a:noFill/>
        <a:ln w="25400">
          <a:noFill/>
        </a:ln>
      </c:spPr>
    </c:title>
    <c:autoTitleDeleted val="0"/>
    <c:plotArea>
      <c:layout>
        <c:manualLayout>
          <c:layoutTarget val="inner"/>
          <c:xMode val="edge"/>
          <c:yMode val="edge"/>
          <c:x val="0.10321864594894561"/>
          <c:y val="0.14238952536824878"/>
          <c:w val="0.88568257491675917"/>
          <c:h val="0.76923076923076927"/>
        </c:manualLayout>
      </c:layout>
      <c:barChart>
        <c:barDir val="col"/>
        <c:grouping val="clustered"/>
        <c:varyColors val="0"/>
        <c:ser>
          <c:idx val="0"/>
          <c:order val="0"/>
          <c:spPr>
            <a:solidFill>
              <a:srgbClr val="0000FF"/>
            </a:solidFill>
            <a:ln w="12700">
              <a:solidFill>
                <a:srgbClr val="000000"/>
              </a:solidFill>
              <a:prstDash val="solid"/>
            </a:ln>
          </c:spPr>
          <c:invertIfNegative val="0"/>
          <c:cat>
            <c:numRef>
              <c:f>Worksheet!$B$21:$B$25</c:f>
              <c:numCache>
                <c:formatCode>General</c:formatCode>
                <c:ptCount val="5"/>
                <c:pt idx="0">
                  <c:v>2001</c:v>
                </c:pt>
                <c:pt idx="1">
                  <c:v>2002</c:v>
                </c:pt>
                <c:pt idx="2">
                  <c:v>2003</c:v>
                </c:pt>
                <c:pt idx="3">
                  <c:v>2004</c:v>
                </c:pt>
                <c:pt idx="4">
                  <c:v>2005</c:v>
                </c:pt>
              </c:numCache>
            </c:numRef>
          </c:cat>
          <c:val>
            <c:numRef>
              <c:f>Worksheet!$G$21:$G$25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B48-4560-B30B-EA26D59CE107}"/>
            </c:ext>
          </c:extLst>
        </c:ser>
        <c:dLbls>
          <c:showLegendKey val="0"/>
          <c:showVal val="0"/>
          <c:showCatName val="0"/>
          <c:showSerName val="0"/>
          <c:showPercent val="0"/>
          <c:showBubbleSize val="0"/>
        </c:dLbls>
        <c:gapWidth val="150"/>
        <c:axId val="384158944"/>
        <c:axId val="1"/>
      </c:barChart>
      <c:catAx>
        <c:axId val="384158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ppm</a:t>
                </a:r>
              </a:p>
            </c:rich>
          </c:tx>
          <c:layout>
            <c:manualLayout>
              <c:xMode val="edge"/>
              <c:yMode val="edge"/>
              <c:x val="1.2208657047724751E-2"/>
              <c:y val="0.48608837970540097"/>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84158944"/>
        <c:crosses val="autoZero"/>
        <c:crossBetween val="between"/>
      </c:valAx>
      <c:spPr>
        <a:noFill/>
        <a:ln w="12700">
          <a:solidFill>
            <a:srgbClr val="000000"/>
          </a:solidFill>
          <a:prstDash val="solid"/>
        </a:ln>
      </c:spPr>
    </c:plotArea>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chartsheets/sheet1.xml><?xml version="1.0" encoding="utf-8"?>
<chartsheet xmlns="http://schemas.openxmlformats.org/spreadsheetml/2006/main" xmlns:r="http://schemas.openxmlformats.org/officeDocument/2006/relationships">
  <sheetPr codeName="Chart7"/>
  <sheetViews>
    <sheetView zoomScale="58" workbookViewId="0"/>
  </sheetViews>
  <sheetProtection password="C0DF" content="1" objects="1"/>
  <pageMargins left="0.75" right="0.75" top="1" bottom="1" header="0.5" footer="0.5"/>
  <pageSetup orientation="landscape" r:id="rId1"/>
  <headerFooter alignWithMargins="0">
    <oddFooter>&amp;L&amp;8File: &amp;F, Tab: &amp;A&amp;R&amp;8Page &amp;P of &amp;N</oddFooter>
  </headerFooter>
  <drawing r:id="rId2"/>
</chartsheet>
</file>

<file path=xl/ctrlProps/ctrlProp1.xml><?xml version="1.0" encoding="utf-8"?>
<formControlPr xmlns="http://schemas.microsoft.com/office/spreadsheetml/2009/9/main" objectType="Button"/>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xdr:col>
      <xdr:colOff>1752600</xdr:colOff>
      <xdr:row>74</xdr:row>
      <xdr:rowOff>0</xdr:rowOff>
    </xdr:from>
    <xdr:ext cx="95250" cy="228600"/>
    <xdr:sp macro="" textlink="">
      <xdr:nvSpPr>
        <xdr:cNvPr id="7169" name="Text Box 1">
          <a:extLst>
            <a:ext uri="{FF2B5EF4-FFF2-40B4-BE49-F238E27FC236}">
              <a16:creationId xmlns:a16="http://schemas.microsoft.com/office/drawing/2014/main" id="{00000000-0008-0000-0000-0000011C0000}"/>
            </a:ext>
          </a:extLst>
        </xdr:cNvPr>
        <xdr:cNvSpPr txBox="1">
          <a:spLocks noChangeArrowheads="1"/>
        </xdr:cNvSpPr>
      </xdr:nvSpPr>
      <xdr:spPr bwMode="auto">
        <a:xfrm>
          <a:off x="2066925" y="18621375"/>
          <a:ext cx="9525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17</xdr:row>
          <xdr:rowOff>38100</xdr:rowOff>
        </xdr:from>
        <xdr:to>
          <xdr:col>0</xdr:col>
          <xdr:colOff>868680</xdr:colOff>
          <xdr:row>19</xdr:row>
          <xdr:rowOff>60960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FF0000"/>
                  </a:solidFill>
                  <a:latin typeface="Arial"/>
                  <a:cs typeface="Arial"/>
                </a:rPr>
                <a:t>Sort fields</a:t>
              </a:r>
            </a:p>
          </xdr:txBody>
        </xdr:sp>
        <xdr:clientData fLocksWithSheet="0" fPrintsWithSheet="0"/>
      </xdr:twoCellAnchor>
    </mc:Choice>
    <mc:Fallback/>
  </mc:AlternateContent>
  <xdr:twoCellAnchor>
    <xdr:from>
      <xdr:col>6</xdr:col>
      <xdr:colOff>2152650</xdr:colOff>
      <xdr:row>0</xdr:row>
      <xdr:rowOff>190500</xdr:rowOff>
    </xdr:from>
    <xdr:to>
      <xdr:col>6</xdr:col>
      <xdr:colOff>6048375</xdr:colOff>
      <xdr:row>6</xdr:row>
      <xdr:rowOff>190500</xdr:rowOff>
    </xdr:to>
    <xdr:sp macro="" textlink="">
      <xdr:nvSpPr>
        <xdr:cNvPr id="4109" name="Rectangle 13">
          <a:extLst>
            <a:ext uri="{FF2B5EF4-FFF2-40B4-BE49-F238E27FC236}">
              <a16:creationId xmlns:a16="http://schemas.microsoft.com/office/drawing/2014/main" id="{00000000-0008-0000-0100-00000D100000}"/>
            </a:ext>
          </a:extLst>
        </xdr:cNvPr>
        <xdr:cNvSpPr>
          <a:spLocks noChangeArrowheads="1"/>
        </xdr:cNvSpPr>
      </xdr:nvSpPr>
      <xdr:spPr bwMode="auto">
        <a:xfrm>
          <a:off x="9020175" y="190500"/>
          <a:ext cx="3895725" cy="121920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xmlns:mc="http://schemas.openxmlformats.org/markup-compatibility/2006" xmlns:a14="http://schemas.microsoft.com/office/drawing/2010/main" val="000000" mc:Ignorable="a14" a14:legacySpreadsheetColorIndex="8"/>
          </a:outerShdw>
        </a:effec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Developed by:  Kansas Department of Agriculture</a:t>
          </a:r>
        </a:p>
        <a:p>
          <a:pPr algn="l" rtl="0">
            <a:defRPr sz="1000"/>
          </a:pPr>
          <a:r>
            <a:rPr lang="en-US" sz="1000" b="1" i="0" u="none" strike="noStrike" baseline="0">
              <a:solidFill>
                <a:srgbClr val="000000"/>
              </a:solidFill>
              <a:latin typeface="Arial"/>
              <a:cs typeface="Arial"/>
            </a:rPr>
            <a:t>                                  and Kansas State University.</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Revised by:  Kansas Department of Health and Environment</a:t>
          </a:r>
        </a:p>
        <a:p>
          <a:pPr algn="l" rtl="0">
            <a:defRPr sz="1000"/>
          </a:pPr>
          <a:r>
            <a:rPr lang="en-US" sz="1000" b="1" i="0" u="none" strike="noStrike" baseline="0">
              <a:solidFill>
                <a:srgbClr val="000000"/>
              </a:solidFill>
              <a:latin typeface="Arial"/>
              <a:cs typeface="Arial"/>
            </a:rPr>
            <a:t>                                 Livestock Waste Management Section</a:t>
          </a:r>
        </a:p>
        <a:p>
          <a:pPr algn="l" rtl="0">
            <a:defRPr sz="1000"/>
          </a:pPr>
          <a:r>
            <a:rPr lang="en-US" sz="1000" b="1" i="0" u="none" strike="noStrike" baseline="0">
              <a:solidFill>
                <a:srgbClr val="000000"/>
              </a:solidFill>
              <a:latin typeface="Arial"/>
              <a:cs typeface="Arial"/>
            </a:rPr>
            <a:t>                                            phone:  (785) 296-6432</a:t>
          </a:r>
        </a:p>
        <a:p>
          <a:pPr algn="l" rtl="0">
            <a:defRPr sz="1000"/>
          </a:pPr>
          <a:r>
            <a:rPr lang="en-US" sz="1000" b="1" i="0" u="none" strike="noStrike" baseline="0">
              <a:solidFill>
                <a:srgbClr val="000000"/>
              </a:solidFill>
              <a:latin typeface="Arial"/>
              <a:cs typeface="Arial"/>
            </a:rPr>
            <a:t>                                      email:  feedlots@kdheks.gov</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6</xdr:col>
      <xdr:colOff>152400</xdr:colOff>
      <xdr:row>42</xdr:row>
      <xdr:rowOff>104775</xdr:rowOff>
    </xdr:from>
    <xdr:ext cx="95250" cy="228600"/>
    <xdr:sp macro="" textlink="">
      <xdr:nvSpPr>
        <xdr:cNvPr id="3186" name="Text Box 114">
          <a:extLst>
            <a:ext uri="{FF2B5EF4-FFF2-40B4-BE49-F238E27FC236}">
              <a16:creationId xmlns:a16="http://schemas.microsoft.com/office/drawing/2014/main" id="{00000000-0008-0000-0200-0000720C0000}"/>
            </a:ext>
          </a:extLst>
        </xdr:cNvPr>
        <xdr:cNvSpPr txBox="1">
          <a:spLocks noChangeArrowheads="1"/>
        </xdr:cNvSpPr>
      </xdr:nvSpPr>
      <xdr:spPr bwMode="auto">
        <a:xfrm>
          <a:off x="5857875" y="9610725"/>
          <a:ext cx="9525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3</xdr:col>
      <xdr:colOff>0</xdr:colOff>
      <xdr:row>40</xdr:row>
      <xdr:rowOff>66675</xdr:rowOff>
    </xdr:from>
    <xdr:ext cx="95250" cy="228600"/>
    <xdr:sp macro="" textlink="">
      <xdr:nvSpPr>
        <xdr:cNvPr id="3194" name="Text Box 122">
          <a:extLst>
            <a:ext uri="{FF2B5EF4-FFF2-40B4-BE49-F238E27FC236}">
              <a16:creationId xmlns:a16="http://schemas.microsoft.com/office/drawing/2014/main" id="{00000000-0008-0000-0200-00007A0C0000}"/>
            </a:ext>
          </a:extLst>
        </xdr:cNvPr>
        <xdr:cNvSpPr txBox="1">
          <a:spLocks noChangeArrowheads="1"/>
        </xdr:cNvSpPr>
      </xdr:nvSpPr>
      <xdr:spPr bwMode="auto">
        <a:xfrm>
          <a:off x="2343150" y="9115425"/>
          <a:ext cx="9525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2</xdr:col>
      <xdr:colOff>76200</xdr:colOff>
      <xdr:row>37</xdr:row>
      <xdr:rowOff>95250</xdr:rowOff>
    </xdr:from>
    <xdr:to>
      <xdr:col>9</xdr:col>
      <xdr:colOff>714375</xdr:colOff>
      <xdr:row>42</xdr:row>
      <xdr:rowOff>133350</xdr:rowOff>
    </xdr:to>
    <xdr:sp macro="" textlink="" fLocksText="0">
      <xdr:nvSpPr>
        <xdr:cNvPr id="3196" name="Text Box 124">
          <a:extLst>
            <a:ext uri="{FF2B5EF4-FFF2-40B4-BE49-F238E27FC236}">
              <a16:creationId xmlns:a16="http://schemas.microsoft.com/office/drawing/2014/main" id="{00000000-0008-0000-0200-00007C0C0000}"/>
            </a:ext>
          </a:extLst>
        </xdr:cNvPr>
        <xdr:cNvSpPr txBox="1">
          <a:spLocks noChangeAspect="1" noChangeArrowheads="1"/>
        </xdr:cNvSpPr>
      </xdr:nvSpPr>
      <xdr:spPr bwMode="auto">
        <a:xfrm>
          <a:off x="1476375" y="8572500"/>
          <a:ext cx="7839075" cy="1066800"/>
        </a:xfrm>
        <a:prstGeom prst="rect">
          <a:avLst/>
        </a:prstGeom>
        <a:solidFill>
          <a:srgbClr xmlns:mc="http://schemas.openxmlformats.org/markup-compatibility/2006" xmlns:a14="http://schemas.microsoft.com/office/drawing/2010/main" val="FFFF99" mc:Ignorable="a14" a14:legacySpreadsheetColorIndex="43"/>
        </a:solidFill>
        <a:ln w="38100">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outerShdw>
        </a:effectLst>
      </xdr:spPr>
    </xdr:sp>
    <xdr:clientData/>
  </xdr:twoCellAnchor>
  <xdr:oneCellAnchor>
    <xdr:from>
      <xdr:col>7</xdr:col>
      <xdr:colOff>66675</xdr:colOff>
      <xdr:row>49</xdr:row>
      <xdr:rowOff>0</xdr:rowOff>
    </xdr:from>
    <xdr:ext cx="95250" cy="228600"/>
    <xdr:sp macro="" textlink="">
      <xdr:nvSpPr>
        <xdr:cNvPr id="3197" name="Text Box 125">
          <a:extLst>
            <a:ext uri="{FF2B5EF4-FFF2-40B4-BE49-F238E27FC236}">
              <a16:creationId xmlns:a16="http://schemas.microsoft.com/office/drawing/2014/main" id="{00000000-0008-0000-0200-00007D0C0000}"/>
            </a:ext>
          </a:extLst>
        </xdr:cNvPr>
        <xdr:cNvSpPr txBox="1">
          <a:spLocks noChangeArrowheads="1"/>
        </xdr:cNvSpPr>
      </xdr:nvSpPr>
      <xdr:spPr bwMode="auto">
        <a:xfrm>
          <a:off x="6467475" y="10839450"/>
          <a:ext cx="9525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10</xdr:col>
      <xdr:colOff>28575</xdr:colOff>
      <xdr:row>32</xdr:row>
      <xdr:rowOff>200025</xdr:rowOff>
    </xdr:from>
    <xdr:to>
      <xdr:col>13</xdr:col>
      <xdr:colOff>771525</xdr:colOff>
      <xdr:row>38</xdr:row>
      <xdr:rowOff>85725</xdr:rowOff>
    </xdr:to>
    <xdr:sp macro="" textlink="">
      <xdr:nvSpPr>
        <xdr:cNvPr id="3315" name="Rectangle 243">
          <a:extLst>
            <a:ext uri="{FF2B5EF4-FFF2-40B4-BE49-F238E27FC236}">
              <a16:creationId xmlns:a16="http://schemas.microsoft.com/office/drawing/2014/main" id="{00000000-0008-0000-0200-0000F30C0000}"/>
            </a:ext>
          </a:extLst>
        </xdr:cNvPr>
        <xdr:cNvSpPr>
          <a:spLocks noChangeArrowheads="1"/>
        </xdr:cNvSpPr>
      </xdr:nvSpPr>
      <xdr:spPr bwMode="auto">
        <a:xfrm>
          <a:off x="9458325" y="7534275"/>
          <a:ext cx="3895725" cy="121920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xmlns:mc="http://schemas.openxmlformats.org/markup-compatibility/2006" xmlns:a14="http://schemas.microsoft.com/office/drawing/2010/main" val="000000" mc:Ignorable="a14" a14:legacySpreadsheetColorIndex="8"/>
          </a:outerShdw>
        </a:effec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Developed by:  Kansas Department of Agriculture</a:t>
          </a:r>
        </a:p>
        <a:p>
          <a:pPr algn="l" rtl="0">
            <a:defRPr sz="1000"/>
          </a:pPr>
          <a:r>
            <a:rPr lang="en-US" sz="1000" b="1" i="0" u="none" strike="noStrike" baseline="0">
              <a:solidFill>
                <a:srgbClr val="000000"/>
              </a:solidFill>
              <a:latin typeface="Arial"/>
              <a:cs typeface="Arial"/>
            </a:rPr>
            <a:t>                                  and Kansas State University.</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Revised by:  Kansas Department of Health and Environment</a:t>
          </a:r>
        </a:p>
        <a:p>
          <a:pPr algn="l" rtl="0">
            <a:defRPr sz="1000"/>
          </a:pPr>
          <a:r>
            <a:rPr lang="en-US" sz="1000" b="1" i="0" u="none" strike="noStrike" baseline="0">
              <a:solidFill>
                <a:srgbClr val="000000"/>
              </a:solidFill>
              <a:latin typeface="Arial"/>
              <a:cs typeface="Arial"/>
            </a:rPr>
            <a:t>                                 Livestock Waste Management Section</a:t>
          </a:r>
        </a:p>
        <a:p>
          <a:pPr algn="l" rtl="0">
            <a:defRPr sz="1000"/>
          </a:pPr>
          <a:r>
            <a:rPr lang="en-US" sz="1000" b="1" i="0" u="none" strike="noStrike" baseline="0">
              <a:solidFill>
                <a:srgbClr val="000000"/>
              </a:solidFill>
              <a:latin typeface="Arial"/>
              <a:cs typeface="Arial"/>
            </a:rPr>
            <a:t>                                            phone:  (785) 296-6432</a:t>
          </a:r>
        </a:p>
        <a:p>
          <a:pPr algn="l" rtl="0">
            <a:defRPr sz="1000"/>
          </a:pPr>
          <a:r>
            <a:rPr lang="en-US" sz="1000" b="1" i="0" u="none" strike="noStrike" baseline="0">
              <a:solidFill>
                <a:srgbClr val="000000"/>
              </a:solidFill>
              <a:latin typeface="Arial"/>
              <a:cs typeface="Arial"/>
            </a:rPr>
            <a:t>                                      email:  feedlots@kdheks.gov</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104775</xdr:colOff>
      <xdr:row>26</xdr:row>
      <xdr:rowOff>66675</xdr:rowOff>
    </xdr:from>
    <xdr:to>
      <xdr:col>5</xdr:col>
      <xdr:colOff>314325</xdr:colOff>
      <xdr:row>33</xdr:row>
      <xdr:rowOff>85725</xdr:rowOff>
    </xdr:to>
    <xdr:sp macro="" textlink="">
      <xdr:nvSpPr>
        <xdr:cNvPr id="2068" name="Rectangle 20">
          <a:extLst>
            <a:ext uri="{FF2B5EF4-FFF2-40B4-BE49-F238E27FC236}">
              <a16:creationId xmlns:a16="http://schemas.microsoft.com/office/drawing/2014/main" id="{00000000-0008-0000-0300-000014080000}"/>
            </a:ext>
          </a:extLst>
        </xdr:cNvPr>
        <xdr:cNvSpPr>
          <a:spLocks noChangeArrowheads="1"/>
        </xdr:cNvSpPr>
      </xdr:nvSpPr>
      <xdr:spPr bwMode="auto">
        <a:xfrm>
          <a:off x="428625" y="5686425"/>
          <a:ext cx="3895725" cy="121920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xmlns:mc="http://schemas.openxmlformats.org/markup-compatibility/2006" xmlns:a14="http://schemas.microsoft.com/office/drawing/2010/main" val="000000" mc:Ignorable="a14" a14:legacySpreadsheetColorIndex="8"/>
          </a:outerShdw>
        </a:effectLst>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Developed by:  Kansas Department of Agriculture</a:t>
          </a:r>
        </a:p>
        <a:p>
          <a:pPr algn="l" rtl="0">
            <a:defRPr sz="1000"/>
          </a:pPr>
          <a:r>
            <a:rPr lang="en-US" sz="1000" b="1" i="0" u="none" strike="noStrike" baseline="0">
              <a:solidFill>
                <a:srgbClr val="000000"/>
              </a:solidFill>
              <a:latin typeface="Arial"/>
              <a:cs typeface="Arial"/>
            </a:rPr>
            <a:t>                                  and Kansas State University.</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Revised by:  Kansas Department of Health and Environment</a:t>
          </a:r>
        </a:p>
        <a:p>
          <a:pPr algn="l" rtl="0">
            <a:defRPr sz="1000"/>
          </a:pPr>
          <a:r>
            <a:rPr lang="en-US" sz="1000" b="1" i="0" u="none" strike="noStrike" baseline="0">
              <a:solidFill>
                <a:srgbClr val="000000"/>
              </a:solidFill>
              <a:latin typeface="Arial"/>
              <a:cs typeface="Arial"/>
            </a:rPr>
            <a:t>                                 Livestock Waste Management Section</a:t>
          </a:r>
        </a:p>
        <a:p>
          <a:pPr algn="l" rtl="0">
            <a:defRPr sz="1000"/>
          </a:pPr>
          <a:r>
            <a:rPr lang="en-US" sz="1000" b="1" i="0" u="none" strike="noStrike" baseline="0">
              <a:solidFill>
                <a:srgbClr val="000000"/>
              </a:solidFill>
              <a:latin typeface="Arial"/>
              <a:cs typeface="Arial"/>
            </a:rPr>
            <a:t>                                            phone:  (785) 296-6432</a:t>
          </a:r>
        </a:p>
        <a:p>
          <a:pPr algn="l" rtl="0">
            <a:defRPr sz="1000"/>
          </a:pPr>
          <a:r>
            <a:rPr lang="en-US" sz="1000" b="1" i="0" u="none" strike="noStrike" baseline="0">
              <a:solidFill>
                <a:srgbClr val="000000"/>
              </a:solidFill>
              <a:latin typeface="Arial"/>
              <a:cs typeface="Arial"/>
            </a:rPr>
            <a:t>                                      email:  feedlots@kdheks.gov</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238125</xdr:colOff>
      <xdr:row>34</xdr:row>
      <xdr:rowOff>104775</xdr:rowOff>
    </xdr:from>
    <xdr:to>
      <xdr:col>6</xdr:col>
      <xdr:colOff>466725</xdr:colOff>
      <xdr:row>41</xdr:row>
      <xdr:rowOff>28575</xdr:rowOff>
    </xdr:to>
    <xdr:sp macro="" textlink="">
      <xdr:nvSpPr>
        <xdr:cNvPr id="1035" name="Rectangle 11">
          <a:extLst>
            <a:ext uri="{FF2B5EF4-FFF2-40B4-BE49-F238E27FC236}">
              <a16:creationId xmlns:a16="http://schemas.microsoft.com/office/drawing/2014/main" id="{00000000-0008-0000-0400-00000B040000}"/>
            </a:ext>
          </a:extLst>
        </xdr:cNvPr>
        <xdr:cNvSpPr>
          <a:spLocks noChangeArrowheads="1"/>
        </xdr:cNvSpPr>
      </xdr:nvSpPr>
      <xdr:spPr bwMode="auto">
        <a:xfrm>
          <a:off x="647700" y="5991225"/>
          <a:ext cx="3895725" cy="121920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xmlns:mc="http://schemas.openxmlformats.org/markup-compatibility/2006" xmlns:a14="http://schemas.microsoft.com/office/drawing/2010/main" val="000000" mc:Ignorable="a14" a14:legacySpreadsheetColorIndex="8"/>
          </a:outerShdw>
        </a:effec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Developed by:  Kansas Department of Agriculture</a:t>
          </a:r>
        </a:p>
        <a:p>
          <a:pPr algn="l" rtl="0">
            <a:defRPr sz="1000"/>
          </a:pPr>
          <a:r>
            <a:rPr lang="en-US" sz="1000" b="1" i="0" u="none" strike="noStrike" baseline="0">
              <a:solidFill>
                <a:srgbClr val="000000"/>
              </a:solidFill>
              <a:latin typeface="Arial"/>
              <a:cs typeface="Arial"/>
            </a:rPr>
            <a:t>                                  and Kansas State University.</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Revised by:  Kansas Department of Health and Environment</a:t>
          </a:r>
        </a:p>
        <a:p>
          <a:pPr algn="l" rtl="0">
            <a:defRPr sz="1000"/>
          </a:pPr>
          <a:r>
            <a:rPr lang="en-US" sz="1000" b="1" i="0" u="none" strike="noStrike" baseline="0">
              <a:solidFill>
                <a:srgbClr val="000000"/>
              </a:solidFill>
              <a:latin typeface="Arial"/>
              <a:cs typeface="Arial"/>
            </a:rPr>
            <a:t>                                 Livestock Waste Management Section</a:t>
          </a:r>
        </a:p>
        <a:p>
          <a:pPr algn="l" rtl="0">
            <a:defRPr sz="1000"/>
          </a:pPr>
          <a:r>
            <a:rPr lang="en-US" sz="1000" b="1" i="0" u="none" strike="noStrike" baseline="0">
              <a:solidFill>
                <a:srgbClr val="000000"/>
              </a:solidFill>
              <a:latin typeface="Arial"/>
              <a:cs typeface="Arial"/>
            </a:rPr>
            <a:t>                                            phone:  (785) 296-6432</a:t>
          </a:r>
        </a:p>
        <a:p>
          <a:pPr algn="l" rtl="0">
            <a:defRPr sz="1000"/>
          </a:pPr>
          <a:r>
            <a:rPr lang="en-US" sz="1000" b="1" i="0" u="none" strike="noStrike" baseline="0">
              <a:solidFill>
                <a:srgbClr val="000000"/>
              </a:solidFill>
              <a:latin typeface="Arial"/>
              <a:cs typeface="Arial"/>
            </a:rPr>
            <a:t>                                      email:  feedlots@kdheks.gov</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76200</xdr:colOff>
      <xdr:row>12</xdr:row>
      <xdr:rowOff>57150</xdr:rowOff>
    </xdr:from>
    <xdr:to>
      <xdr:col>3</xdr:col>
      <xdr:colOff>1000125</xdr:colOff>
      <xdr:row>18</xdr:row>
      <xdr:rowOff>133350</xdr:rowOff>
    </xdr:to>
    <xdr:sp macro="" textlink="">
      <xdr:nvSpPr>
        <xdr:cNvPr id="6188" name="Rectangle 44">
          <a:extLst>
            <a:ext uri="{FF2B5EF4-FFF2-40B4-BE49-F238E27FC236}">
              <a16:creationId xmlns:a16="http://schemas.microsoft.com/office/drawing/2014/main" id="{00000000-0008-0000-0700-00002C180000}"/>
            </a:ext>
          </a:extLst>
        </xdr:cNvPr>
        <xdr:cNvSpPr>
          <a:spLocks noChangeArrowheads="1"/>
        </xdr:cNvSpPr>
      </xdr:nvSpPr>
      <xdr:spPr bwMode="auto">
        <a:xfrm>
          <a:off x="647700" y="2371725"/>
          <a:ext cx="3895725" cy="121920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xmlns:mc="http://schemas.openxmlformats.org/markup-compatibility/2006" xmlns:a14="http://schemas.microsoft.com/office/drawing/2010/main" val="000000" mc:Ignorable="a14" a14:legacySpreadsheetColorIndex="8"/>
          </a:outerShdw>
        </a:effec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Developed by:  Kansas Department of Agriculture</a:t>
          </a:r>
        </a:p>
        <a:p>
          <a:pPr algn="l" rtl="0">
            <a:defRPr sz="1000"/>
          </a:pPr>
          <a:r>
            <a:rPr lang="en-US" sz="1000" b="1" i="0" u="none" strike="noStrike" baseline="0">
              <a:solidFill>
                <a:srgbClr val="000000"/>
              </a:solidFill>
              <a:latin typeface="Arial"/>
              <a:cs typeface="Arial"/>
            </a:rPr>
            <a:t>                                  and Kansas State University.</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Revised by:  Kansas Department of Health and Environment</a:t>
          </a:r>
        </a:p>
        <a:p>
          <a:pPr algn="l" rtl="0">
            <a:defRPr sz="1000"/>
          </a:pPr>
          <a:r>
            <a:rPr lang="en-US" sz="1000" b="1" i="0" u="none" strike="noStrike" baseline="0">
              <a:solidFill>
                <a:srgbClr val="000000"/>
              </a:solidFill>
              <a:latin typeface="Arial"/>
              <a:cs typeface="Arial"/>
            </a:rPr>
            <a:t>                                 Livestock Waste Management Section</a:t>
          </a:r>
        </a:p>
        <a:p>
          <a:pPr algn="l" rtl="0">
            <a:defRPr sz="1000"/>
          </a:pPr>
          <a:r>
            <a:rPr lang="en-US" sz="1000" b="1" i="0" u="none" strike="noStrike" baseline="0">
              <a:solidFill>
                <a:srgbClr val="000000"/>
              </a:solidFill>
              <a:latin typeface="Arial"/>
              <a:cs typeface="Arial"/>
            </a:rPr>
            <a:t>                                            phone:  (785) 296-6432</a:t>
          </a:r>
        </a:p>
        <a:p>
          <a:pPr algn="l" rtl="0">
            <a:defRPr sz="1000"/>
          </a:pPr>
          <a:r>
            <a:rPr lang="en-US" sz="1000" b="1" i="0" u="none" strike="noStrike" baseline="0">
              <a:solidFill>
                <a:srgbClr val="000000"/>
              </a:solidFill>
              <a:latin typeface="Arial"/>
              <a:cs typeface="Arial"/>
            </a:rPr>
            <a:t>                                      email:  feedlots@kdheks.gov</a:t>
          </a: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8582025" cy="581977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2B0000" mc:Ignorable="a14" a14:legacySpreadsheetColorIndex="43"/>
        </a:solidFill>
        <a:ln w="38100"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outerShdw dist="107763" dir="2700000" algn="ctr" rotWithShape="0">
            <a:srgbClr val="808080"/>
          </a:outer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2B0000" mc:Ignorable="a14" a14:legacySpreadsheetColorIndex="43"/>
        </a:solidFill>
        <a:ln w="38100"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outerShdw dist="107763" dir="2700000" algn="ctr" rotWithShape="0">
            <a:srgbClr val="808080"/>
          </a:outerShdw>
        </a:effec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1"/>
  </sheetPr>
  <dimension ref="B1:B105"/>
  <sheetViews>
    <sheetView tabSelected="1" zoomScaleNormal="100" zoomScaleSheetLayoutView="100" workbookViewId="0"/>
  </sheetViews>
  <sheetFormatPr defaultColWidth="8.90625" defaultRowHeight="15" x14ac:dyDescent="0.25"/>
  <cols>
    <col min="1" max="1" width="3.6328125" style="298" customWidth="1"/>
    <col min="2" max="2" width="105" style="298" customWidth="1"/>
    <col min="3" max="3" width="19.1796875" style="298" bestFit="1" customWidth="1"/>
    <col min="4" max="4" width="28.54296875" style="298" bestFit="1" customWidth="1"/>
    <col min="5" max="16384" width="8.90625" style="298"/>
  </cols>
  <sheetData>
    <row r="1" spans="2:2" ht="16.2" thickBot="1" x14ac:dyDescent="0.3">
      <c r="B1" s="297" t="s">
        <v>522</v>
      </c>
    </row>
    <row r="2" spans="2:2" x14ac:dyDescent="0.25">
      <c r="B2" s="299" t="s">
        <v>565</v>
      </c>
    </row>
    <row r="3" spans="2:2" ht="15.6" x14ac:dyDescent="0.25">
      <c r="B3" s="300" t="s">
        <v>576</v>
      </c>
    </row>
    <row r="4" spans="2:2" ht="15.6" x14ac:dyDescent="0.25">
      <c r="B4" s="300" t="s">
        <v>573</v>
      </c>
    </row>
    <row r="5" spans="2:2" x14ac:dyDescent="0.25">
      <c r="B5" s="301" t="s">
        <v>574</v>
      </c>
    </row>
    <row r="6" spans="2:2" x14ac:dyDescent="0.25">
      <c r="B6" s="301" t="s">
        <v>575</v>
      </c>
    </row>
    <row r="7" spans="2:2" ht="15.6" x14ac:dyDescent="0.25">
      <c r="B7" s="302" t="s">
        <v>579</v>
      </c>
    </row>
    <row r="8" spans="2:2" ht="30.6" x14ac:dyDescent="0.25">
      <c r="B8" s="302" t="s">
        <v>26</v>
      </c>
    </row>
    <row r="9" spans="2:2" s="304" customFormat="1" x14ac:dyDescent="0.25">
      <c r="B9" s="303" t="s">
        <v>27</v>
      </c>
    </row>
    <row r="10" spans="2:2" x14ac:dyDescent="0.25">
      <c r="B10" s="303" t="s">
        <v>577</v>
      </c>
    </row>
    <row r="11" spans="2:2" x14ac:dyDescent="0.25">
      <c r="B11" s="303" t="s">
        <v>578</v>
      </c>
    </row>
    <row r="12" spans="2:2" x14ac:dyDescent="0.25">
      <c r="B12" s="303" t="s">
        <v>566</v>
      </c>
    </row>
    <row r="13" spans="2:2" ht="31.8" thickBot="1" x14ac:dyDescent="0.3">
      <c r="B13" s="305" t="s">
        <v>529</v>
      </c>
    </row>
    <row r="14" spans="2:2" x14ac:dyDescent="0.25">
      <c r="B14" s="306"/>
    </row>
    <row r="15" spans="2:2" ht="16.2" thickBot="1" x14ac:dyDescent="0.3">
      <c r="B15" s="297" t="s">
        <v>571</v>
      </c>
    </row>
    <row r="16" spans="2:2" ht="15.6" x14ac:dyDescent="0.25">
      <c r="B16" s="307" t="s">
        <v>523</v>
      </c>
    </row>
    <row r="17" spans="2:2" x14ac:dyDescent="0.25">
      <c r="B17" s="303" t="s">
        <v>567</v>
      </c>
    </row>
    <row r="18" spans="2:2" ht="15.6" x14ac:dyDescent="0.25">
      <c r="B18" s="303" t="s">
        <v>561</v>
      </c>
    </row>
    <row r="19" spans="2:2" ht="15.6" x14ac:dyDescent="0.25">
      <c r="B19" s="308" t="s">
        <v>564</v>
      </c>
    </row>
    <row r="20" spans="2:2" ht="15.6" x14ac:dyDescent="0.25">
      <c r="B20" s="308" t="s">
        <v>563</v>
      </c>
    </row>
    <row r="21" spans="2:2" x14ac:dyDescent="0.25">
      <c r="B21" s="303" t="s">
        <v>562</v>
      </c>
    </row>
    <row r="22" spans="2:2" ht="15.6" x14ac:dyDescent="0.25">
      <c r="B22" s="303" t="s">
        <v>527</v>
      </c>
    </row>
    <row r="23" spans="2:2" ht="15.6" x14ac:dyDescent="0.25">
      <c r="B23" s="308" t="s">
        <v>524</v>
      </c>
    </row>
    <row r="24" spans="2:2" ht="15.6" x14ac:dyDescent="0.25">
      <c r="B24" s="308" t="s">
        <v>525</v>
      </c>
    </row>
    <row r="25" spans="2:2" ht="30" x14ac:dyDescent="0.25">
      <c r="B25" s="303" t="s">
        <v>568</v>
      </c>
    </row>
    <row r="26" spans="2:2" ht="15.6" x14ac:dyDescent="0.25">
      <c r="B26" s="308" t="s">
        <v>526</v>
      </c>
    </row>
    <row r="27" spans="2:2" ht="31.8" thickBot="1" x14ac:dyDescent="0.3">
      <c r="B27" s="305" t="s">
        <v>572</v>
      </c>
    </row>
    <row r="29" spans="2:2" ht="16.2" thickBot="1" x14ac:dyDescent="0.3">
      <c r="B29" s="297" t="s">
        <v>582</v>
      </c>
    </row>
    <row r="30" spans="2:2" ht="15.6" x14ac:dyDescent="0.25">
      <c r="B30" s="295" t="s">
        <v>581</v>
      </c>
    </row>
    <row r="31" spans="2:2" ht="16.2" thickBot="1" x14ac:dyDescent="0.3">
      <c r="B31" s="309" t="s">
        <v>580</v>
      </c>
    </row>
    <row r="32" spans="2:2" ht="16.2" thickBot="1" x14ac:dyDescent="0.3">
      <c r="B32" s="310" t="s">
        <v>583</v>
      </c>
    </row>
    <row r="33" spans="2:2" ht="15.6" x14ac:dyDescent="0.25">
      <c r="B33" s="295" t="s">
        <v>51</v>
      </c>
    </row>
    <row r="34" spans="2:2" ht="15.6" x14ac:dyDescent="0.25">
      <c r="B34" s="311" t="s">
        <v>584</v>
      </c>
    </row>
    <row r="35" spans="2:2" ht="15.6" x14ac:dyDescent="0.25">
      <c r="B35" s="311" t="s">
        <v>585</v>
      </c>
    </row>
    <row r="36" spans="2:2" ht="15.6" x14ac:dyDescent="0.25">
      <c r="B36" s="311" t="s">
        <v>586</v>
      </c>
    </row>
    <row r="37" spans="2:2" ht="15.6" x14ac:dyDescent="0.25">
      <c r="B37" s="311" t="s">
        <v>590</v>
      </c>
    </row>
    <row r="38" spans="2:2" x14ac:dyDescent="0.25">
      <c r="B38" s="312" t="s">
        <v>592</v>
      </c>
    </row>
    <row r="39" spans="2:2" x14ac:dyDescent="0.25">
      <c r="B39" s="312" t="s">
        <v>591</v>
      </c>
    </row>
    <row r="40" spans="2:2" x14ac:dyDescent="0.25">
      <c r="B40" s="312" t="s">
        <v>593</v>
      </c>
    </row>
    <row r="41" spans="2:2" x14ac:dyDescent="0.25">
      <c r="B41" s="312" t="s">
        <v>594</v>
      </c>
    </row>
    <row r="42" spans="2:2" x14ac:dyDescent="0.25">
      <c r="B42" s="312" t="s">
        <v>595</v>
      </c>
    </row>
    <row r="43" spans="2:2" ht="15.6" x14ac:dyDescent="0.25">
      <c r="B43" s="311" t="s">
        <v>596</v>
      </c>
    </row>
    <row r="44" spans="2:2" ht="15.6" x14ac:dyDescent="0.25">
      <c r="B44" s="311" t="s">
        <v>597</v>
      </c>
    </row>
    <row r="45" spans="2:2" ht="45.6" thickBot="1" x14ac:dyDescent="0.3">
      <c r="B45" s="312" t="s">
        <v>11</v>
      </c>
    </row>
    <row r="46" spans="2:2" ht="15.6" x14ac:dyDescent="0.25">
      <c r="B46" s="307" t="s">
        <v>598</v>
      </c>
    </row>
    <row r="47" spans="2:2" x14ac:dyDescent="0.25">
      <c r="B47" s="313" t="s">
        <v>599</v>
      </c>
    </row>
    <row r="48" spans="2:2" ht="30.6" x14ac:dyDescent="0.25">
      <c r="B48" s="313" t="s">
        <v>600</v>
      </c>
    </row>
    <row r="49" spans="2:2" ht="31.2" thickBot="1" x14ac:dyDescent="0.3">
      <c r="B49" s="313" t="s">
        <v>12</v>
      </c>
    </row>
    <row r="50" spans="2:2" ht="15.6" x14ac:dyDescent="0.25">
      <c r="B50" s="307" t="s">
        <v>52</v>
      </c>
    </row>
    <row r="51" spans="2:2" ht="30.6" x14ac:dyDescent="0.25">
      <c r="B51" s="308" t="s">
        <v>601</v>
      </c>
    </row>
    <row r="52" spans="2:2" ht="15.6" x14ac:dyDescent="0.25">
      <c r="B52" s="308" t="s">
        <v>602</v>
      </c>
    </row>
    <row r="53" spans="2:2" ht="15.6" x14ac:dyDescent="0.25">
      <c r="B53" s="308" t="s">
        <v>603</v>
      </c>
    </row>
    <row r="54" spans="2:2" ht="30.6" x14ac:dyDescent="0.25">
      <c r="B54" s="308" t="s">
        <v>604</v>
      </c>
    </row>
    <row r="55" spans="2:2" ht="60.6" thickBot="1" x14ac:dyDescent="0.3">
      <c r="B55" s="314" t="s">
        <v>48</v>
      </c>
    </row>
    <row r="56" spans="2:2" s="306" customFormat="1" ht="15.6" x14ac:dyDescent="0.25">
      <c r="B56" s="307" t="s">
        <v>263</v>
      </c>
    </row>
    <row r="57" spans="2:2" s="306" customFormat="1" ht="15.6" thickBot="1" x14ac:dyDescent="0.3">
      <c r="B57" s="315" t="s">
        <v>2</v>
      </c>
    </row>
    <row r="58" spans="2:2" s="306" customFormat="1" ht="15.6" x14ac:dyDescent="0.25">
      <c r="B58" s="307" t="s">
        <v>477</v>
      </c>
    </row>
    <row r="59" spans="2:2" s="306" customFormat="1" ht="30.6" x14ac:dyDescent="0.25">
      <c r="B59" s="308" t="s">
        <v>605</v>
      </c>
    </row>
    <row r="60" spans="2:2" s="306" customFormat="1" ht="46.2" thickBot="1" x14ac:dyDescent="0.3">
      <c r="B60" s="305" t="s">
        <v>49</v>
      </c>
    </row>
    <row r="61" spans="2:2" s="306" customFormat="1" ht="15.6" x14ac:dyDescent="0.25">
      <c r="B61" s="307" t="s">
        <v>65</v>
      </c>
    </row>
    <row r="62" spans="2:2" s="306" customFormat="1" ht="30.6" x14ac:dyDescent="0.25">
      <c r="B62" s="308" t="s">
        <v>606</v>
      </c>
    </row>
    <row r="63" spans="2:2" ht="46.2" x14ac:dyDescent="0.25">
      <c r="B63" s="308" t="s">
        <v>0</v>
      </c>
    </row>
    <row r="64" spans="2:2" ht="37.200000000000003" x14ac:dyDescent="0.25">
      <c r="B64" s="308" t="s">
        <v>14</v>
      </c>
    </row>
    <row r="65" spans="2:2" ht="33.6" x14ac:dyDescent="0.25">
      <c r="B65" s="308" t="s">
        <v>15</v>
      </c>
    </row>
    <row r="66" spans="2:2" ht="16.2" thickBot="1" x14ac:dyDescent="0.3">
      <c r="B66" s="305" t="s">
        <v>1</v>
      </c>
    </row>
    <row r="67" spans="2:2" ht="15.6" x14ac:dyDescent="0.25">
      <c r="B67" s="307" t="s">
        <v>247</v>
      </c>
    </row>
    <row r="68" spans="2:2" ht="15.6" x14ac:dyDescent="0.25">
      <c r="B68" s="308" t="s">
        <v>5</v>
      </c>
    </row>
    <row r="69" spans="2:2" ht="15.6" x14ac:dyDescent="0.25">
      <c r="B69" s="308" t="s">
        <v>6</v>
      </c>
    </row>
    <row r="70" spans="2:2" ht="30" x14ac:dyDescent="0.25">
      <c r="B70" s="313" t="s">
        <v>13</v>
      </c>
    </row>
    <row r="71" spans="2:2" ht="55.8" x14ac:dyDescent="0.25">
      <c r="B71" s="303" t="s">
        <v>8</v>
      </c>
    </row>
    <row r="72" spans="2:2" ht="15.6" x14ac:dyDescent="0.25">
      <c r="B72" s="308" t="s">
        <v>544</v>
      </c>
    </row>
    <row r="73" spans="2:2" ht="15.6" x14ac:dyDescent="0.25">
      <c r="B73" s="308" t="s">
        <v>9</v>
      </c>
    </row>
    <row r="74" spans="2:2" ht="16.2" thickBot="1" x14ac:dyDescent="0.3">
      <c r="B74" s="305" t="s">
        <v>10</v>
      </c>
    </row>
    <row r="75" spans="2:2" ht="15.6" x14ac:dyDescent="0.25">
      <c r="B75" s="307" t="s">
        <v>540</v>
      </c>
    </row>
    <row r="76" spans="2:2" ht="30.6" x14ac:dyDescent="0.25">
      <c r="B76" s="308" t="s">
        <v>16</v>
      </c>
    </row>
    <row r="77" spans="2:2" ht="30.6" thickBot="1" x14ac:dyDescent="0.3">
      <c r="B77" s="316" t="s">
        <v>17</v>
      </c>
    </row>
    <row r="78" spans="2:2" x14ac:dyDescent="0.25">
      <c r="B78" s="306"/>
    </row>
    <row r="79" spans="2:2" ht="16.2" thickBot="1" x14ac:dyDescent="0.3">
      <c r="B79" s="297" t="s">
        <v>18</v>
      </c>
    </row>
    <row r="80" spans="2:2" ht="46.2" x14ac:dyDescent="0.25">
      <c r="B80" s="307" t="s">
        <v>21</v>
      </c>
    </row>
    <row r="81" spans="2:2" ht="31.8" thickBot="1" x14ac:dyDescent="0.3">
      <c r="B81" s="305" t="s">
        <v>22</v>
      </c>
    </row>
    <row r="82" spans="2:2" x14ac:dyDescent="0.25">
      <c r="B82" s="317"/>
    </row>
    <row r="83" spans="2:2" ht="16.2" thickBot="1" x14ac:dyDescent="0.3">
      <c r="B83" s="318" t="s">
        <v>25</v>
      </c>
    </row>
    <row r="84" spans="2:2" ht="30.6" x14ac:dyDescent="0.25">
      <c r="B84" s="307" t="s">
        <v>31</v>
      </c>
    </row>
    <row r="85" spans="2:2" ht="15.6" x14ac:dyDescent="0.25">
      <c r="B85" s="308" t="s">
        <v>32</v>
      </c>
    </row>
    <row r="86" spans="2:2" ht="15.6" x14ac:dyDescent="0.25">
      <c r="B86" s="308" t="s">
        <v>33</v>
      </c>
    </row>
    <row r="87" spans="2:2" ht="15.6" x14ac:dyDescent="0.25">
      <c r="B87" s="308" t="s">
        <v>34</v>
      </c>
    </row>
    <row r="88" spans="2:2" x14ac:dyDescent="0.25">
      <c r="B88" s="319" t="s">
        <v>36</v>
      </c>
    </row>
    <row r="89" spans="2:2" x14ac:dyDescent="0.25">
      <c r="B89" s="319" t="s">
        <v>37</v>
      </c>
    </row>
    <row r="90" spans="2:2" ht="30.6" thickBot="1" x14ac:dyDescent="0.3">
      <c r="B90" s="320" t="s">
        <v>35</v>
      </c>
    </row>
    <row r="91" spans="2:2" s="321" customFormat="1" x14ac:dyDescent="0.25"/>
    <row r="92" spans="2:2" s="321" customFormat="1" ht="15.6" x14ac:dyDescent="0.25">
      <c r="B92" s="322" t="s">
        <v>38</v>
      </c>
    </row>
    <row r="93" spans="2:2" s="321" customFormat="1" x14ac:dyDescent="0.25">
      <c r="B93" s="321" t="s">
        <v>23</v>
      </c>
    </row>
    <row r="94" spans="2:2" x14ac:dyDescent="0.25">
      <c r="B94" s="321" t="s">
        <v>24</v>
      </c>
    </row>
    <row r="96" spans="2:2" ht="15.6" x14ac:dyDescent="0.25">
      <c r="B96" s="322" t="s">
        <v>39</v>
      </c>
    </row>
    <row r="97" spans="2:2" x14ac:dyDescent="0.25">
      <c r="B97" s="298" t="s">
        <v>45</v>
      </c>
    </row>
    <row r="98" spans="2:2" x14ac:dyDescent="0.25">
      <c r="B98" s="323" t="s">
        <v>40</v>
      </c>
    </row>
    <row r="99" spans="2:2" x14ac:dyDescent="0.25">
      <c r="B99" s="323" t="s">
        <v>41</v>
      </c>
    </row>
    <row r="100" spans="2:2" x14ac:dyDescent="0.25">
      <c r="B100" s="323" t="s">
        <v>42</v>
      </c>
    </row>
    <row r="101" spans="2:2" x14ac:dyDescent="0.25">
      <c r="B101" s="323" t="s">
        <v>43</v>
      </c>
    </row>
    <row r="102" spans="2:2" x14ac:dyDescent="0.25">
      <c r="B102" s="323" t="s">
        <v>44</v>
      </c>
    </row>
    <row r="104" spans="2:2" ht="15.6" x14ac:dyDescent="0.25">
      <c r="B104" s="324" t="s">
        <v>46</v>
      </c>
    </row>
    <row r="105" spans="2:2" x14ac:dyDescent="0.25">
      <c r="B105" s="325" t="s">
        <v>47</v>
      </c>
    </row>
  </sheetData>
  <sheetProtection password="C0DF" sheet="1" objects="1" scenarios="1" selectLockedCells="1"/>
  <phoneticPr fontId="0" type="noConversion"/>
  <pageMargins left="0.67" right="0.54" top="0.6" bottom="0.73" header="0.54" footer="0.5"/>
  <pageSetup orientation="landscape" horizontalDpi="4294967292" r:id="rId1"/>
  <headerFooter alignWithMargins="0">
    <oddFooter>&amp;L&amp;8File: &amp;F    Tab: &amp;A&amp;R&amp;8NUP version 3.5 revised April, 2010;    Page &amp;P of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3"/>
    <pageSetUpPr fitToPage="1"/>
  </sheetPr>
  <dimension ref="A1:U113"/>
  <sheetViews>
    <sheetView zoomScaleNormal="100" workbookViewId="0">
      <selection activeCell="C17" sqref="C17"/>
    </sheetView>
  </sheetViews>
  <sheetFormatPr defaultColWidth="8.90625" defaultRowHeight="15" x14ac:dyDescent="0.25"/>
  <cols>
    <col min="1" max="1" width="9.1796875" style="239" customWidth="1"/>
    <col min="2" max="2" width="19.54296875" style="239" customWidth="1"/>
    <col min="3" max="4" width="9.453125" style="239" customWidth="1"/>
    <col min="5" max="5" width="15.90625" style="239" customWidth="1"/>
    <col min="6" max="6" width="16.54296875" style="239" customWidth="1"/>
    <col min="7" max="7" width="71.36328125" style="239" customWidth="1"/>
    <col min="8" max="8" width="9.1796875" style="239" customWidth="1"/>
    <col min="9" max="9" width="10.54296875" style="239" hidden="1" customWidth="1"/>
    <col min="10" max="10" width="8.6328125" style="239" hidden="1" customWidth="1"/>
    <col min="11" max="11" width="8.90625" style="239"/>
    <col min="12" max="12" width="29.453125" style="239" hidden="1" customWidth="1"/>
    <col min="13" max="16" width="0" style="239" hidden="1" customWidth="1"/>
    <col min="17" max="17" width="9.6328125" style="239" hidden="1" customWidth="1"/>
    <col min="18" max="22" width="0" style="239" hidden="1" customWidth="1"/>
    <col min="23" max="16384" width="8.90625" style="239"/>
  </cols>
  <sheetData>
    <row r="1" spans="1:21" ht="15.6" x14ac:dyDescent="0.3">
      <c r="A1" s="246" t="s">
        <v>474</v>
      </c>
      <c r="B1" s="57" t="s">
        <v>550</v>
      </c>
      <c r="C1" s="243"/>
      <c r="D1" s="243"/>
      <c r="E1" s="243"/>
      <c r="F1" s="243"/>
      <c r="G1" s="243"/>
    </row>
    <row r="2" spans="1:21" ht="15.6" x14ac:dyDescent="0.3">
      <c r="A2" s="246"/>
      <c r="B2" s="60" t="s">
        <v>551</v>
      </c>
      <c r="C2" s="243"/>
      <c r="D2" s="243"/>
      <c r="E2" s="243"/>
      <c r="F2" s="243"/>
      <c r="G2" s="243"/>
    </row>
    <row r="3" spans="1:21" ht="15.6" x14ac:dyDescent="0.3">
      <c r="A3" s="246"/>
      <c r="B3" s="60" t="s">
        <v>552</v>
      </c>
      <c r="C3" s="243"/>
      <c r="D3" s="243"/>
      <c r="E3" s="243"/>
      <c r="F3" s="243"/>
      <c r="G3" s="243"/>
    </row>
    <row r="4" spans="1:21" ht="15.6" x14ac:dyDescent="0.3">
      <c r="A4" s="246"/>
      <c r="B4" s="60" t="s">
        <v>553</v>
      </c>
    </row>
    <row r="5" spans="1:21" ht="16.2" thickBot="1" x14ac:dyDescent="0.35">
      <c r="A5" s="246" t="s">
        <v>475</v>
      </c>
      <c r="B5" s="57" t="s">
        <v>473</v>
      </c>
      <c r="C5" s="241"/>
      <c r="D5" s="241"/>
      <c r="E5" s="241"/>
      <c r="F5" s="241"/>
      <c r="G5" s="241"/>
      <c r="L5" s="63" t="s">
        <v>263</v>
      </c>
      <c r="N5" s="247" t="s">
        <v>332</v>
      </c>
      <c r="O5" s="247"/>
    </row>
    <row r="6" spans="1:21" ht="16.2" thickTop="1" x14ac:dyDescent="0.3">
      <c r="A6" s="246" t="s">
        <v>476</v>
      </c>
      <c r="B6" s="57" t="s">
        <v>569</v>
      </c>
      <c r="C6" s="248"/>
      <c r="D6" s="248"/>
      <c r="E6" s="248"/>
      <c r="F6" s="248"/>
      <c r="G6" s="248"/>
      <c r="I6" s="57" t="s">
        <v>331</v>
      </c>
      <c r="J6" s="57" t="s">
        <v>558</v>
      </c>
      <c r="L6" s="249" t="s">
        <v>334</v>
      </c>
      <c r="N6" s="57" t="s">
        <v>335</v>
      </c>
      <c r="Q6" s="239" t="s">
        <v>555</v>
      </c>
    </row>
    <row r="7" spans="1:21" ht="16.2" thickBot="1" x14ac:dyDescent="0.35">
      <c r="A7" s="246" t="s">
        <v>554</v>
      </c>
      <c r="B7" s="57" t="s">
        <v>570</v>
      </c>
      <c r="C7" s="248"/>
      <c r="D7" s="248"/>
      <c r="E7" s="248"/>
      <c r="F7" s="248"/>
      <c r="G7" s="248"/>
      <c r="I7" s="57" t="s">
        <v>333</v>
      </c>
      <c r="J7" s="57" t="s">
        <v>559</v>
      </c>
      <c r="L7" s="251"/>
      <c r="N7" s="57"/>
      <c r="Q7" s="239" t="s">
        <v>556</v>
      </c>
    </row>
    <row r="8" spans="1:21" ht="15.6" thickTop="1" x14ac:dyDescent="0.25">
      <c r="B8" s="60"/>
      <c r="C8" s="248"/>
      <c r="D8" s="248"/>
      <c r="E8" s="248"/>
      <c r="F8" s="248"/>
      <c r="G8" s="248"/>
      <c r="I8" s="250" t="s">
        <v>336</v>
      </c>
      <c r="J8" s="327">
        <v>39.909999999999997</v>
      </c>
      <c r="L8" s="251" t="s">
        <v>337</v>
      </c>
      <c r="N8" s="252" t="s">
        <v>467</v>
      </c>
      <c r="O8" s="253"/>
      <c r="Q8" s="239" t="s">
        <v>557</v>
      </c>
    </row>
    <row r="9" spans="1:21" ht="25.5" customHeight="1" thickBot="1" x14ac:dyDescent="0.35">
      <c r="B9" s="56" t="s">
        <v>471</v>
      </c>
      <c r="C9" s="61"/>
      <c r="D9" s="61"/>
      <c r="E9" s="61"/>
      <c r="F9" s="61"/>
      <c r="G9" s="61"/>
      <c r="I9" s="254" t="s">
        <v>338</v>
      </c>
      <c r="J9" s="328">
        <v>40.18</v>
      </c>
      <c r="L9" s="255" t="s">
        <v>339</v>
      </c>
      <c r="N9" s="256" t="s">
        <v>468</v>
      </c>
      <c r="O9" s="253"/>
      <c r="Q9" s="239" t="s">
        <v>202</v>
      </c>
    </row>
    <row r="10" spans="1:21" ht="27.6" thickTop="1" thickBot="1" x14ac:dyDescent="0.3">
      <c r="B10" s="194" t="s">
        <v>472</v>
      </c>
      <c r="C10" s="292" t="s">
        <v>549</v>
      </c>
      <c r="D10" s="292" t="s">
        <v>547</v>
      </c>
      <c r="E10" s="292" t="s">
        <v>548</v>
      </c>
      <c r="F10" s="160" t="s">
        <v>341</v>
      </c>
      <c r="G10" s="293" t="s">
        <v>489</v>
      </c>
      <c r="I10" s="254" t="s">
        <v>342</v>
      </c>
      <c r="J10" s="329">
        <v>36.64</v>
      </c>
      <c r="L10" s="255" t="s">
        <v>343</v>
      </c>
    </row>
    <row r="11" spans="1:21" ht="15.6" thickBot="1" x14ac:dyDescent="0.3">
      <c r="B11" s="335"/>
      <c r="C11" s="336"/>
      <c r="D11" s="336"/>
      <c r="E11" s="337"/>
      <c r="F11" s="338"/>
      <c r="G11" s="339"/>
      <c r="I11" s="254" t="s">
        <v>344</v>
      </c>
      <c r="J11" s="328">
        <v>25.72</v>
      </c>
      <c r="L11" s="251" t="s">
        <v>345</v>
      </c>
      <c r="N11" s="63" t="s">
        <v>346</v>
      </c>
      <c r="P11" s="63" t="s">
        <v>455</v>
      </c>
    </row>
    <row r="12" spans="1:21" ht="15.6" thickTop="1" x14ac:dyDescent="0.25">
      <c r="A12" s="330"/>
      <c r="B12" s="340"/>
      <c r="C12" s="341"/>
      <c r="D12" s="341"/>
      <c r="E12" s="342"/>
      <c r="F12" s="343"/>
      <c r="G12" s="344"/>
      <c r="I12" s="254" t="s">
        <v>347</v>
      </c>
      <c r="J12" s="328">
        <v>25.98</v>
      </c>
      <c r="L12" s="251" t="s">
        <v>348</v>
      </c>
      <c r="N12" s="257">
        <v>1</v>
      </c>
      <c r="P12" s="258" t="s">
        <v>456</v>
      </c>
      <c r="Q12" s="259"/>
      <c r="R12" s="259"/>
      <c r="S12" s="259"/>
      <c r="T12" s="259"/>
      <c r="U12" s="260"/>
    </row>
    <row r="13" spans="1:21" x14ac:dyDescent="0.25">
      <c r="B13" s="340"/>
      <c r="C13" s="341"/>
      <c r="D13" s="341"/>
      <c r="E13" s="342"/>
      <c r="F13" s="343"/>
      <c r="G13" s="344"/>
      <c r="I13" s="254" t="s">
        <v>349</v>
      </c>
      <c r="J13" s="328">
        <v>41.5</v>
      </c>
      <c r="L13" s="251" t="s">
        <v>350</v>
      </c>
      <c r="N13" s="261">
        <v>2</v>
      </c>
      <c r="P13" s="253" t="s">
        <v>457</v>
      </c>
      <c r="Q13" s="181"/>
      <c r="R13" s="181"/>
      <c r="S13" s="262"/>
      <c r="T13" s="262"/>
      <c r="U13" s="263"/>
    </row>
    <row r="14" spans="1:21" ht="15.6" thickBot="1" x14ac:dyDescent="0.3">
      <c r="B14" s="340"/>
      <c r="C14" s="341"/>
      <c r="D14" s="341"/>
      <c r="E14" s="342"/>
      <c r="F14" s="343"/>
      <c r="G14" s="344"/>
      <c r="I14" s="254" t="s">
        <v>351</v>
      </c>
      <c r="J14" s="328">
        <v>36.33</v>
      </c>
      <c r="L14" s="251" t="s">
        <v>352</v>
      </c>
      <c r="N14" s="264">
        <v>3</v>
      </c>
      <c r="P14" s="265" t="s">
        <v>458</v>
      </c>
      <c r="Q14" s="266"/>
      <c r="R14" s="266"/>
      <c r="S14" s="129"/>
      <c r="T14" s="129"/>
      <c r="U14" s="267"/>
    </row>
    <row r="15" spans="1:21" ht="15.6" thickTop="1" x14ac:dyDescent="0.25">
      <c r="B15" s="340"/>
      <c r="C15" s="341"/>
      <c r="D15" s="341"/>
      <c r="E15" s="342"/>
      <c r="F15" s="343"/>
      <c r="G15" s="344"/>
      <c r="I15" s="254" t="s">
        <v>353</v>
      </c>
      <c r="J15" s="328">
        <v>34.9</v>
      </c>
      <c r="L15" s="251" t="s">
        <v>354</v>
      </c>
      <c r="N15" s="268"/>
      <c r="P15" s="269" t="s">
        <v>459</v>
      </c>
      <c r="Q15" s="181"/>
      <c r="R15" s="181"/>
      <c r="S15" s="181"/>
      <c r="T15" s="181"/>
      <c r="U15" s="270"/>
    </row>
    <row r="16" spans="1:21" x14ac:dyDescent="0.25">
      <c r="B16" s="340"/>
      <c r="C16" s="341"/>
      <c r="D16" s="341"/>
      <c r="E16" s="342"/>
      <c r="F16" s="343"/>
      <c r="G16" s="344"/>
      <c r="I16" s="254" t="s">
        <v>355</v>
      </c>
      <c r="J16" s="328">
        <v>33.99</v>
      </c>
      <c r="L16" s="255" t="s">
        <v>356</v>
      </c>
      <c r="N16" s="7"/>
      <c r="P16" s="253" t="s">
        <v>460</v>
      </c>
      <c r="Q16" s="181"/>
      <c r="R16" s="181"/>
      <c r="S16" s="181"/>
      <c r="T16" s="181"/>
      <c r="U16" s="270"/>
    </row>
    <row r="17" spans="2:21" ht="15.6" thickBot="1" x14ac:dyDescent="0.3">
      <c r="B17" s="340"/>
      <c r="C17" s="341"/>
      <c r="D17" s="341"/>
      <c r="E17" s="342"/>
      <c r="F17" s="343"/>
      <c r="G17" s="344"/>
      <c r="I17" s="254" t="s">
        <v>357</v>
      </c>
      <c r="J17" s="328">
        <v>38.72</v>
      </c>
      <c r="L17" s="271"/>
      <c r="N17" s="7"/>
      <c r="P17" s="253" t="s">
        <v>458</v>
      </c>
      <c r="Q17" s="181"/>
      <c r="R17" s="181"/>
      <c r="S17" s="181"/>
      <c r="T17" s="181"/>
      <c r="U17" s="270"/>
    </row>
    <row r="18" spans="2:21" ht="16.2" thickTop="1" thickBot="1" x14ac:dyDescent="0.3">
      <c r="B18" s="340"/>
      <c r="C18" s="341"/>
      <c r="D18" s="341"/>
      <c r="E18" s="342"/>
      <c r="F18" s="343"/>
      <c r="G18" s="344"/>
      <c r="I18" s="254" t="s">
        <v>358</v>
      </c>
      <c r="J18" s="328">
        <v>42.06</v>
      </c>
      <c r="N18" s="64" t="s">
        <v>359</v>
      </c>
      <c r="P18" s="253" t="s">
        <v>461</v>
      </c>
      <c r="Q18" s="181"/>
      <c r="R18" s="181"/>
      <c r="S18" s="181"/>
      <c r="T18" s="181"/>
      <c r="U18" s="270"/>
    </row>
    <row r="19" spans="2:21" ht="16.2" thickTop="1" thickBot="1" x14ac:dyDescent="0.3">
      <c r="B19" s="340"/>
      <c r="C19" s="341"/>
      <c r="D19" s="341"/>
      <c r="E19" s="342"/>
      <c r="F19" s="343"/>
      <c r="G19" s="344"/>
      <c r="I19" s="254" t="s">
        <v>360</v>
      </c>
      <c r="J19" s="328">
        <v>17.75</v>
      </c>
      <c r="N19" s="272" t="s">
        <v>361</v>
      </c>
      <c r="P19" s="265" t="s">
        <v>462</v>
      </c>
      <c r="Q19" s="129"/>
      <c r="R19" s="129"/>
      <c r="S19" s="129"/>
      <c r="T19" s="129"/>
      <c r="U19" s="267"/>
    </row>
    <row r="20" spans="2:21" ht="15.6" thickBot="1" x14ac:dyDescent="0.3">
      <c r="B20" s="340"/>
      <c r="C20" s="341"/>
      <c r="D20" s="341"/>
      <c r="E20" s="342"/>
      <c r="F20" s="343"/>
      <c r="G20" s="344"/>
      <c r="I20" s="254" t="s">
        <v>362</v>
      </c>
      <c r="J20" s="328">
        <v>21.93</v>
      </c>
      <c r="N20" s="273" t="s">
        <v>363</v>
      </c>
      <c r="P20" s="269" t="s">
        <v>463</v>
      </c>
      <c r="Q20" s="181"/>
      <c r="R20" s="181"/>
      <c r="S20" s="181"/>
      <c r="T20" s="181"/>
      <c r="U20" s="270"/>
    </row>
    <row r="21" spans="2:21" ht="15.6" thickTop="1" x14ac:dyDescent="0.25">
      <c r="B21" s="340"/>
      <c r="C21" s="341"/>
      <c r="D21" s="341"/>
      <c r="E21" s="342"/>
      <c r="F21" s="343"/>
      <c r="G21" s="344"/>
      <c r="I21" s="254" t="s">
        <v>364</v>
      </c>
      <c r="J21" s="328">
        <v>30.47</v>
      </c>
      <c r="N21" s="262"/>
      <c r="P21" s="253" t="s">
        <v>464</v>
      </c>
      <c r="Q21" s="181"/>
      <c r="R21" s="181"/>
      <c r="S21" s="181"/>
      <c r="T21" s="181"/>
      <c r="U21" s="270"/>
    </row>
    <row r="22" spans="2:21" x14ac:dyDescent="0.25">
      <c r="B22" s="340"/>
      <c r="C22" s="341"/>
      <c r="D22" s="341"/>
      <c r="E22" s="342"/>
      <c r="F22" s="343"/>
      <c r="G22" s="344"/>
      <c r="I22" s="254" t="s">
        <v>365</v>
      </c>
      <c r="J22" s="328">
        <v>28.47</v>
      </c>
      <c r="N22" s="262"/>
      <c r="P22" s="253" t="s">
        <v>461</v>
      </c>
      <c r="Q22" s="181"/>
      <c r="R22" s="181"/>
      <c r="S22" s="181"/>
      <c r="T22" s="181"/>
      <c r="U22" s="270"/>
    </row>
    <row r="23" spans="2:21" ht="15.6" thickBot="1" x14ac:dyDescent="0.3">
      <c r="B23" s="340"/>
      <c r="C23" s="341"/>
      <c r="D23" s="341"/>
      <c r="E23" s="342"/>
      <c r="F23" s="343"/>
      <c r="G23" s="344"/>
      <c r="I23" s="254" t="s">
        <v>366</v>
      </c>
      <c r="J23" s="328">
        <v>34.36</v>
      </c>
      <c r="K23" s="294" t="s">
        <v>560</v>
      </c>
      <c r="L23" s="64"/>
      <c r="N23" s="262"/>
      <c r="P23" s="274" t="s">
        <v>465</v>
      </c>
      <c r="Q23" s="275"/>
      <c r="R23" s="275"/>
      <c r="S23" s="275"/>
      <c r="T23" s="275"/>
      <c r="U23" s="276"/>
    </row>
    <row r="24" spans="2:21" ht="15.6" thickTop="1" x14ac:dyDescent="0.25">
      <c r="B24" s="340"/>
      <c r="C24" s="341"/>
      <c r="D24" s="341"/>
      <c r="E24" s="342"/>
      <c r="F24" s="343"/>
      <c r="G24" s="344"/>
      <c r="I24" s="254" t="s">
        <v>367</v>
      </c>
      <c r="J24" s="328">
        <v>25.04</v>
      </c>
      <c r="N24" s="262"/>
      <c r="P24" s="253"/>
      <c r="Q24" s="181"/>
      <c r="R24" s="181"/>
      <c r="S24" s="181"/>
      <c r="T24" s="181"/>
      <c r="U24" s="270"/>
    </row>
    <row r="25" spans="2:21" ht="15.6" thickBot="1" x14ac:dyDescent="0.3">
      <c r="B25" s="340"/>
      <c r="C25" s="341"/>
      <c r="D25" s="341"/>
      <c r="E25" s="342"/>
      <c r="F25" s="343"/>
      <c r="G25" s="344"/>
      <c r="I25" s="254" t="s">
        <v>368</v>
      </c>
      <c r="J25" s="328">
        <v>33.869999999999997</v>
      </c>
      <c r="N25" s="262"/>
      <c r="P25" s="274" t="s">
        <v>466</v>
      </c>
      <c r="Q25" s="275"/>
      <c r="R25" s="275"/>
      <c r="S25" s="275"/>
      <c r="T25" s="275"/>
      <c r="U25" s="276"/>
    </row>
    <row r="26" spans="2:21" ht="15.6" thickTop="1" x14ac:dyDescent="0.25">
      <c r="B26" s="340"/>
      <c r="C26" s="341"/>
      <c r="D26" s="341"/>
      <c r="E26" s="342"/>
      <c r="F26" s="343"/>
      <c r="G26" s="344"/>
      <c r="I26" s="254" t="s">
        <v>369</v>
      </c>
      <c r="J26" s="328">
        <v>43.41</v>
      </c>
      <c r="N26" s="262"/>
      <c r="O26" s="262"/>
    </row>
    <row r="27" spans="2:21" x14ac:dyDescent="0.25">
      <c r="B27" s="340"/>
      <c r="C27" s="341"/>
      <c r="D27" s="341"/>
      <c r="E27" s="342"/>
      <c r="F27" s="343"/>
      <c r="G27" s="344"/>
      <c r="I27" s="254" t="s">
        <v>370</v>
      </c>
      <c r="J27" s="328">
        <v>22.28</v>
      </c>
      <c r="N27" s="262"/>
      <c r="O27" s="262"/>
    </row>
    <row r="28" spans="2:21" x14ac:dyDescent="0.25">
      <c r="B28" s="340"/>
      <c r="C28" s="341"/>
      <c r="D28" s="341"/>
      <c r="E28" s="342"/>
      <c r="F28" s="343"/>
      <c r="G28" s="344"/>
      <c r="I28" s="254" t="s">
        <v>371</v>
      </c>
      <c r="J28" s="328">
        <v>30.2</v>
      </c>
    </row>
    <row r="29" spans="2:21" x14ac:dyDescent="0.25">
      <c r="B29" s="340"/>
      <c r="C29" s="341"/>
      <c r="D29" s="341"/>
      <c r="E29" s="342"/>
      <c r="F29" s="343"/>
      <c r="G29" s="344"/>
      <c r="I29" s="254" t="s">
        <v>372</v>
      </c>
      <c r="J29" s="328">
        <v>36.83</v>
      </c>
    </row>
    <row r="30" spans="2:21" x14ac:dyDescent="0.25">
      <c r="B30" s="340"/>
      <c r="C30" s="341"/>
      <c r="D30" s="341"/>
      <c r="E30" s="342"/>
      <c r="F30" s="343"/>
      <c r="G30" s="344"/>
      <c r="I30" s="254" t="s">
        <v>373</v>
      </c>
      <c r="J30" s="328">
        <v>39.090000000000003</v>
      </c>
    </row>
    <row r="31" spans="2:21" x14ac:dyDescent="0.25">
      <c r="B31" s="340"/>
      <c r="C31" s="341"/>
      <c r="D31" s="341"/>
      <c r="E31" s="342"/>
      <c r="F31" s="343"/>
      <c r="G31" s="344"/>
      <c r="I31" s="254" t="s">
        <v>374</v>
      </c>
      <c r="J31" s="328">
        <v>24.5</v>
      </c>
    </row>
    <row r="32" spans="2:21" x14ac:dyDescent="0.25">
      <c r="B32" s="340"/>
      <c r="C32" s="341"/>
      <c r="D32" s="341"/>
      <c r="E32" s="342"/>
      <c r="F32" s="343"/>
      <c r="G32" s="344"/>
      <c r="I32" s="254" t="s">
        <v>375</v>
      </c>
      <c r="J32" s="328">
        <v>36.979999999999997</v>
      </c>
    </row>
    <row r="33" spans="2:15" x14ac:dyDescent="0.25">
      <c r="B33" s="340"/>
      <c r="C33" s="341"/>
      <c r="D33" s="341"/>
      <c r="E33" s="342"/>
      <c r="F33" s="343"/>
      <c r="G33" s="344"/>
      <c r="I33" s="254" t="s">
        <v>376</v>
      </c>
      <c r="J33" s="328">
        <v>21.97</v>
      </c>
    </row>
    <row r="34" spans="2:15" x14ac:dyDescent="0.25">
      <c r="B34" s="340"/>
      <c r="C34" s="341"/>
      <c r="D34" s="341"/>
      <c r="E34" s="342"/>
      <c r="F34" s="343"/>
      <c r="G34" s="344"/>
      <c r="I34" s="254" t="s">
        <v>377</v>
      </c>
      <c r="J34" s="328">
        <v>27.84</v>
      </c>
    </row>
    <row r="35" spans="2:15" x14ac:dyDescent="0.25">
      <c r="B35" s="340"/>
      <c r="C35" s="341"/>
      <c r="D35" s="341"/>
      <c r="E35" s="342"/>
      <c r="F35" s="343"/>
      <c r="G35" s="344"/>
      <c r="I35" s="254" t="s">
        <v>378</v>
      </c>
      <c r="J35" s="328">
        <v>17.989999999999998</v>
      </c>
    </row>
    <row r="36" spans="2:15" x14ac:dyDescent="0.25">
      <c r="B36" s="340"/>
      <c r="C36" s="341"/>
      <c r="D36" s="341"/>
      <c r="E36" s="342"/>
      <c r="F36" s="343"/>
      <c r="G36" s="344"/>
      <c r="I36" s="254" t="s">
        <v>379</v>
      </c>
      <c r="J36" s="328">
        <v>21.48</v>
      </c>
    </row>
    <row r="37" spans="2:15" x14ac:dyDescent="0.25">
      <c r="B37" s="340"/>
      <c r="C37" s="341"/>
      <c r="D37" s="341"/>
      <c r="E37" s="342"/>
      <c r="F37" s="343"/>
      <c r="G37" s="344"/>
      <c r="I37" s="254" t="s">
        <v>380</v>
      </c>
      <c r="J37" s="328">
        <v>38.78</v>
      </c>
      <c r="N37" s="60"/>
      <c r="O37" s="60"/>
    </row>
    <row r="38" spans="2:15" x14ac:dyDescent="0.25">
      <c r="B38" s="340"/>
      <c r="C38" s="341"/>
      <c r="D38" s="341"/>
      <c r="E38" s="342"/>
      <c r="F38" s="343"/>
      <c r="G38" s="344"/>
      <c r="I38" s="254" t="s">
        <v>381</v>
      </c>
      <c r="J38" s="328">
        <v>31.68</v>
      </c>
    </row>
    <row r="39" spans="2:15" x14ac:dyDescent="0.25">
      <c r="B39" s="340"/>
      <c r="C39" s="341"/>
      <c r="D39" s="341"/>
      <c r="E39" s="342"/>
      <c r="F39" s="343"/>
      <c r="G39" s="344"/>
      <c r="I39" s="254" t="s">
        <v>382</v>
      </c>
      <c r="J39" s="328">
        <v>23.47</v>
      </c>
    </row>
    <row r="40" spans="2:15" x14ac:dyDescent="0.25">
      <c r="B40" s="340"/>
      <c r="C40" s="341"/>
      <c r="D40" s="341"/>
      <c r="E40" s="342"/>
      <c r="F40" s="343"/>
      <c r="G40" s="344"/>
      <c r="I40" s="254" t="s">
        <v>383</v>
      </c>
      <c r="J40" s="328">
        <v>22.27</v>
      </c>
    </row>
    <row r="41" spans="2:15" x14ac:dyDescent="0.25">
      <c r="B41" s="340"/>
      <c r="C41" s="341"/>
      <c r="D41" s="341"/>
      <c r="E41" s="342"/>
      <c r="F41" s="343"/>
      <c r="G41" s="344"/>
      <c r="I41" s="254" t="s">
        <v>384</v>
      </c>
      <c r="J41" s="328">
        <v>16.63</v>
      </c>
    </row>
    <row r="42" spans="2:15" x14ac:dyDescent="0.25">
      <c r="B42" s="340"/>
      <c r="C42" s="341"/>
      <c r="D42" s="341"/>
      <c r="E42" s="342"/>
      <c r="F42" s="343"/>
      <c r="G42" s="344"/>
      <c r="I42" s="254" t="s">
        <v>385</v>
      </c>
      <c r="J42" s="328">
        <v>22.84</v>
      </c>
    </row>
    <row r="43" spans="2:15" x14ac:dyDescent="0.25">
      <c r="B43" s="340"/>
      <c r="C43" s="341"/>
      <c r="D43" s="341"/>
      <c r="E43" s="342"/>
      <c r="F43" s="343"/>
      <c r="G43" s="344"/>
      <c r="I43" s="254" t="s">
        <v>386</v>
      </c>
      <c r="J43" s="328">
        <v>16.010000000000002</v>
      </c>
    </row>
    <row r="44" spans="2:15" x14ac:dyDescent="0.25">
      <c r="B44" s="340"/>
      <c r="C44" s="341"/>
      <c r="D44" s="341"/>
      <c r="E44" s="342"/>
      <c r="F44" s="343"/>
      <c r="G44" s="344"/>
      <c r="I44" s="254" t="s">
        <v>387</v>
      </c>
      <c r="J44" s="328">
        <v>38.25</v>
      </c>
    </row>
    <row r="45" spans="2:15" x14ac:dyDescent="0.25">
      <c r="B45" s="340"/>
      <c r="C45" s="341"/>
      <c r="D45" s="341"/>
      <c r="E45" s="342"/>
      <c r="F45" s="343"/>
      <c r="G45" s="344"/>
      <c r="I45" s="254" t="s">
        <v>388</v>
      </c>
      <c r="J45" s="328">
        <v>15.62</v>
      </c>
    </row>
    <row r="46" spans="2:15" x14ac:dyDescent="0.25">
      <c r="B46" s="340"/>
      <c r="C46" s="341"/>
      <c r="D46" s="341"/>
      <c r="E46" s="342"/>
      <c r="F46" s="343"/>
      <c r="G46" s="344"/>
      <c r="I46" s="254" t="s">
        <v>389</v>
      </c>
      <c r="J46" s="328">
        <v>29.04</v>
      </c>
    </row>
    <row r="47" spans="2:15" x14ac:dyDescent="0.25">
      <c r="B47" s="340"/>
      <c r="C47" s="341"/>
      <c r="D47" s="341"/>
      <c r="E47" s="342"/>
      <c r="F47" s="343"/>
      <c r="G47" s="344"/>
      <c r="I47" s="254" t="s">
        <v>390</v>
      </c>
      <c r="J47" s="328">
        <v>31.1</v>
      </c>
    </row>
    <row r="48" spans="2:15" x14ac:dyDescent="0.25">
      <c r="B48" s="340"/>
      <c r="C48" s="341"/>
      <c r="D48" s="341"/>
      <c r="E48" s="342"/>
      <c r="F48" s="343"/>
      <c r="G48" s="344"/>
      <c r="I48" s="254" t="s">
        <v>391</v>
      </c>
      <c r="J48" s="328">
        <v>19.260000000000002</v>
      </c>
    </row>
    <row r="49" spans="2:10" x14ac:dyDescent="0.25">
      <c r="B49" s="340"/>
      <c r="C49" s="341"/>
      <c r="D49" s="341"/>
      <c r="E49" s="342"/>
      <c r="F49" s="343"/>
      <c r="G49" s="344"/>
      <c r="I49" s="254" t="s">
        <v>392</v>
      </c>
      <c r="J49" s="328">
        <v>21.35</v>
      </c>
    </row>
    <row r="50" spans="2:10" ht="15.6" thickBot="1" x14ac:dyDescent="0.3">
      <c r="B50" s="345"/>
      <c r="C50" s="346"/>
      <c r="D50" s="346"/>
      <c r="E50" s="347"/>
      <c r="F50" s="348"/>
      <c r="G50" s="349"/>
      <c r="I50" s="254" t="s">
        <v>393</v>
      </c>
      <c r="J50" s="328">
        <v>37.18</v>
      </c>
    </row>
    <row r="51" spans="2:10" x14ac:dyDescent="0.25">
      <c r="C51" s="243"/>
      <c r="D51" s="243"/>
      <c r="E51" s="243"/>
      <c r="F51" s="243"/>
      <c r="G51" s="243"/>
      <c r="I51" s="254" t="s">
        <v>394</v>
      </c>
      <c r="J51" s="328">
        <v>39.04</v>
      </c>
    </row>
    <row r="52" spans="2:10" x14ac:dyDescent="0.25">
      <c r="C52" s="243"/>
      <c r="D52" s="243"/>
      <c r="E52" s="243"/>
      <c r="F52" s="243"/>
      <c r="G52" s="243"/>
      <c r="I52" s="254" t="s">
        <v>395</v>
      </c>
      <c r="J52" s="328">
        <v>27.85</v>
      </c>
    </row>
    <row r="53" spans="2:10" x14ac:dyDescent="0.25">
      <c r="C53" s="243"/>
      <c r="D53" s="243"/>
      <c r="E53" s="243"/>
      <c r="F53" s="243"/>
      <c r="G53" s="243"/>
      <c r="I53" s="254" t="s">
        <v>396</v>
      </c>
      <c r="J53" s="328">
        <v>39.53</v>
      </c>
    </row>
    <row r="54" spans="2:10" x14ac:dyDescent="0.25">
      <c r="C54" s="243"/>
      <c r="D54" s="243"/>
      <c r="E54" s="243"/>
      <c r="F54" s="243"/>
      <c r="G54" s="243"/>
      <c r="I54" s="254" t="s">
        <v>493</v>
      </c>
      <c r="J54" s="328">
        <v>17.03</v>
      </c>
    </row>
    <row r="55" spans="2:10" x14ac:dyDescent="0.25">
      <c r="C55" s="243"/>
      <c r="D55" s="243"/>
      <c r="E55" s="243"/>
      <c r="F55" s="243"/>
      <c r="G55" s="243"/>
      <c r="I55" s="254" t="s">
        <v>397</v>
      </c>
      <c r="J55" s="328">
        <v>28.84</v>
      </c>
    </row>
    <row r="56" spans="2:10" x14ac:dyDescent="0.25">
      <c r="C56" s="243"/>
      <c r="D56" s="243"/>
      <c r="E56" s="243"/>
      <c r="F56" s="243"/>
      <c r="G56" s="243"/>
      <c r="I56" s="254" t="s">
        <v>398</v>
      </c>
      <c r="J56" s="328">
        <v>23.59</v>
      </c>
    </row>
    <row r="57" spans="2:10" x14ac:dyDescent="0.25">
      <c r="C57" s="243"/>
      <c r="D57" s="243"/>
      <c r="E57" s="243"/>
      <c r="F57" s="243"/>
      <c r="G57" s="243"/>
      <c r="I57" s="254" t="s">
        <v>399</v>
      </c>
      <c r="J57" s="328">
        <v>43.14</v>
      </c>
    </row>
    <row r="58" spans="2:10" x14ac:dyDescent="0.25">
      <c r="C58" s="243"/>
      <c r="D58" s="243"/>
      <c r="E58" s="243"/>
      <c r="F58" s="243"/>
      <c r="G58" s="243"/>
      <c r="I58" s="254" t="s">
        <v>400</v>
      </c>
      <c r="J58" s="328">
        <v>20.29</v>
      </c>
    </row>
    <row r="59" spans="2:10" x14ac:dyDescent="0.25">
      <c r="C59" s="243"/>
      <c r="D59" s="243"/>
      <c r="E59" s="243"/>
      <c r="F59" s="243"/>
      <c r="G59" s="243"/>
      <c r="I59" s="254" t="s">
        <v>401</v>
      </c>
      <c r="J59" s="328">
        <v>40.17</v>
      </c>
    </row>
    <row r="60" spans="2:10" x14ac:dyDescent="0.25">
      <c r="C60" s="243"/>
      <c r="D60" s="243"/>
      <c r="E60" s="243"/>
      <c r="F60" s="243"/>
      <c r="G60" s="243"/>
      <c r="I60" s="254" t="s">
        <v>402</v>
      </c>
      <c r="J60" s="328">
        <v>27.37</v>
      </c>
    </row>
    <row r="61" spans="2:10" x14ac:dyDescent="0.25">
      <c r="C61" s="243"/>
      <c r="D61" s="243"/>
      <c r="E61" s="243"/>
      <c r="F61" s="243"/>
      <c r="G61" s="243"/>
      <c r="I61" s="254" t="s">
        <v>403</v>
      </c>
      <c r="J61" s="328">
        <v>41.01</v>
      </c>
    </row>
    <row r="62" spans="2:10" x14ac:dyDescent="0.25">
      <c r="C62" s="243"/>
      <c r="D62" s="243"/>
      <c r="E62" s="243"/>
      <c r="F62" s="243"/>
      <c r="G62" s="243"/>
      <c r="I62" s="254" t="s">
        <v>404</v>
      </c>
      <c r="J62" s="328">
        <v>18.23</v>
      </c>
    </row>
    <row r="63" spans="2:10" x14ac:dyDescent="0.25">
      <c r="C63" s="243"/>
      <c r="D63" s="243"/>
      <c r="E63" s="243"/>
      <c r="F63" s="243"/>
      <c r="G63" s="243"/>
      <c r="I63" s="254" t="s">
        <v>405</v>
      </c>
      <c r="J63" s="328">
        <v>36.200000000000003</v>
      </c>
    </row>
    <row r="64" spans="2:10" x14ac:dyDescent="0.25">
      <c r="C64" s="243"/>
      <c r="D64" s="243"/>
      <c r="E64" s="243"/>
      <c r="F64" s="243"/>
      <c r="G64" s="243"/>
      <c r="I64" s="254" t="s">
        <v>406</v>
      </c>
      <c r="J64" s="328">
        <v>32.69</v>
      </c>
    </row>
    <row r="65" spans="3:10" x14ac:dyDescent="0.25">
      <c r="C65" s="243"/>
      <c r="D65" s="243"/>
      <c r="E65" s="243"/>
      <c r="F65" s="243"/>
      <c r="G65" s="243"/>
      <c r="I65" s="254" t="s">
        <v>407</v>
      </c>
      <c r="J65" s="328">
        <v>31.12</v>
      </c>
    </row>
    <row r="66" spans="3:10" x14ac:dyDescent="0.25">
      <c r="C66" s="243"/>
      <c r="D66" s="243"/>
      <c r="E66" s="243"/>
      <c r="F66" s="243"/>
      <c r="G66" s="243"/>
      <c r="I66" s="254" t="s">
        <v>408</v>
      </c>
      <c r="J66" s="328">
        <v>29.89</v>
      </c>
    </row>
    <row r="67" spans="3:10" x14ac:dyDescent="0.25">
      <c r="C67" s="243"/>
      <c r="D67" s="243"/>
      <c r="E67" s="243"/>
      <c r="F67" s="243"/>
      <c r="G67" s="243"/>
      <c r="I67" s="254" t="s">
        <v>409</v>
      </c>
      <c r="J67" s="328">
        <v>21.79</v>
      </c>
    </row>
    <row r="68" spans="3:10" x14ac:dyDescent="0.25">
      <c r="C68" s="243"/>
      <c r="D68" s="243"/>
      <c r="E68" s="243"/>
      <c r="F68" s="243"/>
      <c r="G68" s="243"/>
      <c r="I68" s="254" t="s">
        <v>410</v>
      </c>
      <c r="J68" s="328">
        <v>40.65</v>
      </c>
    </row>
    <row r="69" spans="3:10" x14ac:dyDescent="0.25">
      <c r="C69" s="243"/>
      <c r="D69" s="243"/>
      <c r="E69" s="243"/>
      <c r="F69" s="243"/>
      <c r="G69" s="243"/>
      <c r="I69" s="254" t="s">
        <v>411</v>
      </c>
      <c r="J69" s="328">
        <v>26.69</v>
      </c>
    </row>
    <row r="70" spans="3:10" x14ac:dyDescent="0.25">
      <c r="C70" s="243"/>
      <c r="D70" s="243"/>
      <c r="E70" s="243"/>
      <c r="F70" s="243"/>
      <c r="G70" s="243"/>
      <c r="I70" s="254" t="s">
        <v>412</v>
      </c>
      <c r="J70" s="328">
        <v>40.64</v>
      </c>
    </row>
    <row r="71" spans="3:10" x14ac:dyDescent="0.25">
      <c r="C71" s="243"/>
      <c r="D71" s="243"/>
      <c r="E71" s="243"/>
      <c r="F71" s="243"/>
      <c r="G71" s="243"/>
      <c r="I71" s="254" t="s">
        <v>413</v>
      </c>
      <c r="J71" s="328">
        <v>32.200000000000003</v>
      </c>
    </row>
    <row r="72" spans="3:10" x14ac:dyDescent="0.25">
      <c r="C72" s="243"/>
      <c r="D72" s="243"/>
      <c r="E72" s="243"/>
      <c r="F72" s="243"/>
      <c r="G72" s="243"/>
      <c r="I72" s="254" t="s">
        <v>414</v>
      </c>
      <c r="J72" s="328">
        <v>17.78</v>
      </c>
    </row>
    <row r="73" spans="3:10" x14ac:dyDescent="0.25">
      <c r="C73" s="243"/>
      <c r="D73" s="243"/>
      <c r="E73" s="243"/>
      <c r="F73" s="243"/>
      <c r="G73" s="243"/>
      <c r="I73" s="254" t="s">
        <v>415</v>
      </c>
      <c r="J73" s="328">
        <v>34.86</v>
      </c>
    </row>
    <row r="74" spans="3:10" x14ac:dyDescent="0.25">
      <c r="C74" s="243"/>
      <c r="D74" s="243"/>
      <c r="E74" s="243"/>
      <c r="F74" s="243"/>
      <c r="G74" s="243"/>
      <c r="I74" s="254" t="s">
        <v>416</v>
      </c>
      <c r="J74" s="328">
        <v>41.91</v>
      </c>
    </row>
    <row r="75" spans="3:10" x14ac:dyDescent="0.25">
      <c r="C75" s="243"/>
      <c r="D75" s="243"/>
      <c r="E75" s="243"/>
      <c r="F75" s="243"/>
      <c r="G75" s="243"/>
      <c r="I75" s="254" t="s">
        <v>417</v>
      </c>
      <c r="J75" s="328">
        <v>20.98</v>
      </c>
    </row>
    <row r="76" spans="3:10" x14ac:dyDescent="0.25">
      <c r="C76" s="243"/>
      <c r="D76" s="243"/>
      <c r="E76" s="243"/>
      <c r="F76" s="243"/>
      <c r="G76" s="243"/>
      <c r="I76" s="254" t="s">
        <v>418</v>
      </c>
      <c r="J76" s="328">
        <v>21.99</v>
      </c>
    </row>
    <row r="77" spans="3:10" x14ac:dyDescent="0.25">
      <c r="C77" s="243"/>
      <c r="D77" s="243"/>
      <c r="E77" s="243"/>
      <c r="F77" s="243"/>
      <c r="G77" s="243"/>
      <c r="I77" s="254" t="s">
        <v>419</v>
      </c>
      <c r="J77" s="328">
        <v>34.75</v>
      </c>
    </row>
    <row r="78" spans="3:10" x14ac:dyDescent="0.25">
      <c r="C78" s="243"/>
      <c r="D78" s="243"/>
      <c r="E78" s="243"/>
      <c r="F78" s="243"/>
      <c r="G78" s="243"/>
      <c r="I78" s="254" t="s">
        <v>420</v>
      </c>
      <c r="J78" s="328">
        <v>25.23</v>
      </c>
    </row>
    <row r="79" spans="3:10" x14ac:dyDescent="0.25">
      <c r="C79" s="243"/>
      <c r="D79" s="243"/>
      <c r="E79" s="243"/>
      <c r="F79" s="243"/>
      <c r="G79" s="243"/>
      <c r="I79" s="254" t="s">
        <v>421</v>
      </c>
      <c r="J79" s="328">
        <v>27.64</v>
      </c>
    </row>
    <row r="80" spans="3:10" x14ac:dyDescent="0.25">
      <c r="C80" s="243"/>
      <c r="D80" s="243"/>
      <c r="E80" s="243"/>
      <c r="F80" s="243"/>
      <c r="G80" s="243"/>
      <c r="I80" s="254" t="s">
        <v>422</v>
      </c>
      <c r="J80" s="328">
        <v>23.67</v>
      </c>
    </row>
    <row r="81" spans="3:10" x14ac:dyDescent="0.25">
      <c r="C81" s="243"/>
      <c r="D81" s="243"/>
      <c r="E81" s="243"/>
      <c r="F81" s="243"/>
      <c r="G81" s="243"/>
      <c r="I81" s="254" t="s">
        <v>423</v>
      </c>
      <c r="J81" s="328">
        <v>23.75</v>
      </c>
    </row>
    <row r="82" spans="3:10" x14ac:dyDescent="0.25">
      <c r="C82" s="243"/>
      <c r="D82" s="243"/>
      <c r="E82" s="243"/>
      <c r="F82" s="243"/>
      <c r="G82" s="243"/>
      <c r="I82" s="254" t="s">
        <v>424</v>
      </c>
      <c r="J82" s="328">
        <v>33.9</v>
      </c>
    </row>
    <row r="83" spans="3:10" x14ac:dyDescent="0.25">
      <c r="C83" s="243"/>
      <c r="D83" s="243"/>
      <c r="E83" s="243"/>
      <c r="F83" s="243"/>
      <c r="G83" s="243"/>
      <c r="I83" s="254" t="s">
        <v>425</v>
      </c>
      <c r="J83" s="328">
        <v>25.97</v>
      </c>
    </row>
    <row r="84" spans="3:10" x14ac:dyDescent="0.25">
      <c r="C84" s="243"/>
      <c r="D84" s="243"/>
      <c r="E84" s="243"/>
      <c r="F84" s="243"/>
      <c r="G84" s="243"/>
      <c r="I84" s="254" t="s">
        <v>426</v>
      </c>
      <c r="J84" s="328">
        <v>21.73</v>
      </c>
    </row>
    <row r="85" spans="3:10" x14ac:dyDescent="0.25">
      <c r="C85" s="243"/>
      <c r="D85" s="243"/>
      <c r="E85" s="243"/>
      <c r="F85" s="243"/>
      <c r="G85" s="243"/>
      <c r="I85" s="254" t="s">
        <v>427</v>
      </c>
      <c r="J85" s="328">
        <v>29.11</v>
      </c>
    </row>
    <row r="86" spans="3:10" x14ac:dyDescent="0.25">
      <c r="C86" s="243"/>
      <c r="D86" s="243"/>
      <c r="E86" s="243"/>
      <c r="F86" s="243"/>
      <c r="G86" s="243"/>
      <c r="I86" s="254" t="s">
        <v>428</v>
      </c>
      <c r="J86" s="328">
        <v>31</v>
      </c>
    </row>
    <row r="87" spans="3:10" x14ac:dyDescent="0.25">
      <c r="C87" s="243"/>
      <c r="D87" s="243"/>
      <c r="E87" s="243"/>
      <c r="F87" s="243"/>
      <c r="G87" s="243"/>
      <c r="I87" s="254" t="s">
        <v>429</v>
      </c>
      <c r="J87" s="328">
        <v>27.93</v>
      </c>
    </row>
    <row r="88" spans="3:10" x14ac:dyDescent="0.25">
      <c r="C88" s="243"/>
      <c r="D88" s="243"/>
      <c r="E88" s="243"/>
      <c r="F88" s="243"/>
      <c r="G88" s="243"/>
      <c r="I88" s="254" t="s">
        <v>430</v>
      </c>
      <c r="J88" s="328">
        <v>33.869999999999997</v>
      </c>
    </row>
    <row r="89" spans="3:10" x14ac:dyDescent="0.25">
      <c r="C89" s="243"/>
      <c r="D89" s="243"/>
      <c r="E89" s="243"/>
      <c r="F89" s="243"/>
      <c r="G89" s="243"/>
      <c r="I89" s="254" t="s">
        <v>431</v>
      </c>
      <c r="J89" s="328">
        <v>23.47</v>
      </c>
    </row>
    <row r="90" spans="3:10" x14ac:dyDescent="0.25">
      <c r="C90" s="243"/>
      <c r="D90" s="243"/>
      <c r="E90" s="243"/>
      <c r="F90" s="243"/>
      <c r="G90" s="243"/>
      <c r="I90" s="254" t="s">
        <v>432</v>
      </c>
      <c r="J90" s="328">
        <v>23.53</v>
      </c>
    </row>
    <row r="91" spans="3:10" x14ac:dyDescent="0.25">
      <c r="C91" s="243"/>
      <c r="D91" s="243"/>
      <c r="E91" s="243"/>
      <c r="F91" s="243"/>
      <c r="G91" s="243"/>
      <c r="I91" s="254" t="s">
        <v>433</v>
      </c>
      <c r="J91" s="328">
        <v>26.49</v>
      </c>
    </row>
    <row r="92" spans="3:10" x14ac:dyDescent="0.25">
      <c r="C92" s="243"/>
      <c r="D92" s="243"/>
      <c r="E92" s="243"/>
      <c r="F92" s="243"/>
      <c r="G92" s="243"/>
      <c r="I92" s="254" t="s">
        <v>434</v>
      </c>
      <c r="J92" s="328">
        <v>29.82</v>
      </c>
    </row>
    <row r="93" spans="3:10" x14ac:dyDescent="0.25">
      <c r="C93" s="243"/>
      <c r="D93" s="243"/>
      <c r="E93" s="243"/>
      <c r="F93" s="243"/>
      <c r="G93" s="243"/>
      <c r="I93" s="254" t="s">
        <v>435</v>
      </c>
      <c r="J93" s="328">
        <v>20.309999999999999</v>
      </c>
    </row>
    <row r="94" spans="3:10" x14ac:dyDescent="0.25">
      <c r="C94" s="243"/>
      <c r="D94" s="243"/>
      <c r="E94" s="243"/>
      <c r="F94" s="243"/>
      <c r="G94" s="243"/>
      <c r="I94" s="254" t="s">
        <v>436</v>
      </c>
      <c r="J94" s="328">
        <v>29.34</v>
      </c>
    </row>
    <row r="95" spans="3:10" x14ac:dyDescent="0.25">
      <c r="C95" s="243"/>
      <c r="D95" s="243"/>
      <c r="E95" s="243"/>
      <c r="F95" s="243"/>
      <c r="G95" s="243"/>
      <c r="I95" s="254" t="s">
        <v>437</v>
      </c>
      <c r="J95" s="328">
        <v>19.03</v>
      </c>
    </row>
    <row r="96" spans="3:10" x14ac:dyDescent="0.25">
      <c r="C96" s="243"/>
      <c r="D96" s="243"/>
      <c r="E96" s="243"/>
      <c r="F96" s="243"/>
      <c r="G96" s="243"/>
      <c r="I96" s="254" t="s">
        <v>438</v>
      </c>
      <c r="J96" s="328">
        <v>35.22</v>
      </c>
    </row>
    <row r="97" spans="3:10" x14ac:dyDescent="0.25">
      <c r="C97" s="243"/>
      <c r="D97" s="243"/>
      <c r="E97" s="243"/>
      <c r="F97" s="243"/>
      <c r="G97" s="243"/>
      <c r="I97" s="254" t="s">
        <v>439</v>
      </c>
      <c r="J97" s="328">
        <v>20.39</v>
      </c>
    </row>
    <row r="98" spans="3:10" x14ac:dyDescent="0.25">
      <c r="C98" s="243"/>
      <c r="D98" s="243"/>
      <c r="E98" s="243"/>
      <c r="F98" s="243"/>
      <c r="G98" s="243"/>
      <c r="I98" s="254" t="s">
        <v>440</v>
      </c>
      <c r="J98" s="328">
        <v>18.23</v>
      </c>
    </row>
    <row r="99" spans="3:10" x14ac:dyDescent="0.25">
      <c r="C99" s="243"/>
      <c r="D99" s="243"/>
      <c r="E99" s="243"/>
      <c r="F99" s="243"/>
      <c r="G99" s="243"/>
      <c r="I99" s="254" t="s">
        <v>441</v>
      </c>
      <c r="J99" s="328">
        <v>23.86</v>
      </c>
    </row>
    <row r="100" spans="3:10" x14ac:dyDescent="0.25">
      <c r="C100" s="243"/>
      <c r="D100" s="243"/>
      <c r="E100" s="243"/>
      <c r="F100" s="243"/>
      <c r="G100" s="243"/>
      <c r="I100" s="254" t="s">
        <v>442</v>
      </c>
      <c r="J100" s="328">
        <v>24.47</v>
      </c>
    </row>
    <row r="101" spans="3:10" x14ac:dyDescent="0.25">
      <c r="C101" s="243"/>
      <c r="D101" s="243"/>
      <c r="E101" s="243"/>
      <c r="F101" s="243"/>
      <c r="G101" s="243"/>
      <c r="I101" s="254" t="s">
        <v>443</v>
      </c>
      <c r="J101" s="328">
        <v>16.62</v>
      </c>
    </row>
    <row r="102" spans="3:10" x14ac:dyDescent="0.25">
      <c r="C102" s="243"/>
      <c r="D102" s="243"/>
      <c r="E102" s="243"/>
      <c r="F102" s="243"/>
      <c r="G102" s="243"/>
      <c r="I102" s="254" t="s">
        <v>444</v>
      </c>
      <c r="J102" s="328">
        <v>18.46</v>
      </c>
    </row>
    <row r="103" spans="3:10" x14ac:dyDescent="0.25">
      <c r="C103" s="243"/>
      <c r="D103" s="243"/>
      <c r="E103" s="243"/>
      <c r="F103" s="243"/>
      <c r="G103" s="243"/>
      <c r="I103" s="254" t="s">
        <v>445</v>
      </c>
      <c r="J103" s="328">
        <v>32.28</v>
      </c>
    </row>
    <row r="104" spans="3:10" x14ac:dyDescent="0.25">
      <c r="C104" s="243"/>
      <c r="D104" s="243"/>
      <c r="E104" s="243"/>
      <c r="F104" s="243"/>
      <c r="G104" s="243"/>
      <c r="I104" s="254" t="s">
        <v>446</v>
      </c>
      <c r="J104" s="328">
        <v>19.14</v>
      </c>
    </row>
    <row r="105" spans="3:10" x14ac:dyDescent="0.25">
      <c r="C105" s="243"/>
      <c r="D105" s="243"/>
      <c r="E105" s="243"/>
      <c r="F105" s="243"/>
      <c r="G105" s="243"/>
      <c r="I105" s="254" t="s">
        <v>447</v>
      </c>
      <c r="J105" s="328">
        <v>22.27</v>
      </c>
    </row>
    <row r="106" spans="3:10" x14ac:dyDescent="0.25">
      <c r="C106" s="243"/>
      <c r="D106" s="243"/>
      <c r="E106" s="243"/>
      <c r="F106" s="243"/>
      <c r="G106" s="243"/>
      <c r="I106" s="254" t="s">
        <v>448</v>
      </c>
      <c r="J106" s="328">
        <v>35.619999999999997</v>
      </c>
    </row>
    <row r="107" spans="3:10" x14ac:dyDescent="0.25">
      <c r="C107" s="243"/>
      <c r="D107" s="243"/>
      <c r="E107" s="243"/>
      <c r="F107" s="243"/>
      <c r="G107" s="243"/>
      <c r="I107" s="254" t="s">
        <v>449</v>
      </c>
      <c r="J107" s="328">
        <v>19.12</v>
      </c>
    </row>
    <row r="108" spans="3:10" x14ac:dyDescent="0.25">
      <c r="C108" s="243"/>
      <c r="D108" s="243"/>
      <c r="E108" s="243"/>
      <c r="F108" s="243"/>
      <c r="G108" s="243"/>
      <c r="I108" s="254" t="s">
        <v>450</v>
      </c>
      <c r="J108" s="328">
        <v>31.84</v>
      </c>
    </row>
    <row r="109" spans="3:10" x14ac:dyDescent="0.25">
      <c r="C109" s="243"/>
      <c r="D109" s="243"/>
      <c r="E109" s="243"/>
      <c r="F109" s="243"/>
      <c r="G109" s="243"/>
      <c r="I109" s="254" t="s">
        <v>451</v>
      </c>
      <c r="J109" s="328">
        <v>17.079999999999998</v>
      </c>
    </row>
    <row r="110" spans="3:10" x14ac:dyDescent="0.25">
      <c r="C110" s="243"/>
      <c r="D110" s="243"/>
      <c r="E110" s="243"/>
      <c r="F110" s="243"/>
      <c r="G110" s="243"/>
      <c r="I110" s="254" t="s">
        <v>452</v>
      </c>
      <c r="J110" s="328">
        <v>38.450000000000003</v>
      </c>
    </row>
    <row r="111" spans="3:10" x14ac:dyDescent="0.25">
      <c r="C111" s="243"/>
      <c r="D111" s="243"/>
      <c r="E111" s="243"/>
      <c r="F111" s="243"/>
      <c r="G111" s="243"/>
      <c r="I111" s="254" t="s">
        <v>453</v>
      </c>
      <c r="J111" s="328">
        <v>41.73</v>
      </c>
    </row>
    <row r="112" spans="3:10" ht="15.6" thickBot="1" x14ac:dyDescent="0.3">
      <c r="C112" s="243"/>
      <c r="D112" s="243"/>
      <c r="E112" s="243"/>
      <c r="F112" s="243"/>
      <c r="G112" s="243"/>
      <c r="I112" s="277" t="s">
        <v>454</v>
      </c>
      <c r="J112" s="331">
        <v>37.47</v>
      </c>
    </row>
    <row r="113" spans="3:7" ht="15.6" thickTop="1" x14ac:dyDescent="0.25">
      <c r="C113" s="243"/>
      <c r="D113" s="243"/>
      <c r="E113" s="243"/>
      <c r="F113" s="243"/>
      <c r="G113" s="243"/>
    </row>
  </sheetData>
  <sheetProtection sheet="1" objects="1" scenarios="1" selectLockedCells="1"/>
  <protectedRanges>
    <protectedRange sqref="B11:G50" name="Range1"/>
  </protectedRanges>
  <phoneticPr fontId="0" type="noConversion"/>
  <dataValidations count="3">
    <dataValidation allowBlank="1" showInputMessage="1" showErrorMessage="1" promptTitle="Do not overwrite these cells." prompt="Do not overwrite these cells.  The program will not function properly." sqref="W51:IV119 W120:AX65536 B51:G119 W1:AX50"/>
    <dataValidation type="list" allowBlank="1" showInputMessage="1" showErrorMessage="1" sqref="L6:L16">
      <formula1>$L$8:$L$16</formula1>
    </dataValidation>
    <dataValidation type="list" allowBlank="1" showInputMessage="1" showErrorMessage="1" sqref="E11:E50">
      <formula1>$Q$6:$Q$9</formula1>
    </dataValidation>
  </dataValidations>
  <pageMargins left="0.67" right="0.54" top="0.6" bottom="0.73" header="0.54" footer="0.5"/>
  <pageSetup scale="66" orientation="landscape" horizontalDpi="4294967292" r:id="rId1"/>
  <headerFooter alignWithMargins="0">
    <oddFooter>&amp;L&amp;8File: &amp;F    Tab: &amp;A&amp;R&amp;8NUP version 3.5 revised April, 2010;    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locked="0" defaultSize="0" print="0" autoFill="0" autoPict="0" macro="[0]!Sort_Fields">
                <anchor moveWithCells="1" sizeWithCells="1">
                  <from>
                    <xdr:col>0</xdr:col>
                    <xdr:colOff>152400</xdr:colOff>
                    <xdr:row>17</xdr:row>
                    <xdr:rowOff>38100</xdr:rowOff>
                  </from>
                  <to>
                    <xdr:col>0</xdr:col>
                    <xdr:colOff>868680</xdr:colOff>
                    <xdr:row>19</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13"/>
    <pageSetUpPr autoPageBreaks="0" fitToPage="1"/>
  </sheetPr>
  <dimension ref="A1:V155"/>
  <sheetViews>
    <sheetView showOutlineSymbols="0" topLeftCell="C1" zoomScaleNormal="87" workbookViewId="0">
      <selection activeCell="K21" sqref="K21"/>
    </sheetView>
  </sheetViews>
  <sheetFormatPr defaultColWidth="10.6328125" defaultRowHeight="13.2" x14ac:dyDescent="0.25"/>
  <cols>
    <col min="1" max="1" width="3.6328125" style="61" customWidth="1"/>
    <col min="2" max="2" width="12.6328125" style="57" customWidth="1"/>
    <col min="3" max="3" width="11" style="57" customWidth="1"/>
    <col min="4" max="4" width="12.6328125" style="57" customWidth="1"/>
    <col min="5" max="5" width="11.90625" style="57" customWidth="1"/>
    <col min="6" max="6" width="14.6328125" style="57" customWidth="1"/>
    <col min="7" max="7" width="8.08984375" style="57" customWidth="1"/>
    <col min="8" max="8" width="19.81640625" style="66" customWidth="1"/>
    <col min="9" max="9" width="5.90625" style="66" customWidth="1"/>
    <col min="10" max="10" width="9.6328125" style="57" customWidth="1"/>
    <col min="11" max="11" width="9" style="57" customWidth="1"/>
    <col min="12" max="12" width="16.08984375" style="57" customWidth="1"/>
    <col min="13" max="13" width="11.6328125" style="57" customWidth="1"/>
    <col min="14" max="16" width="10.6328125" style="57" customWidth="1"/>
    <col min="17" max="22" width="10.6328125" style="57" hidden="1" customWidth="1"/>
    <col min="23" max="16384" width="10.6328125" style="57"/>
  </cols>
  <sheetData>
    <row r="1" spans="1:22" ht="18.75" customHeight="1" thickBot="1" x14ac:dyDescent="0.3">
      <c r="A1" s="350"/>
      <c r="B1" s="568" t="s">
        <v>50</v>
      </c>
      <c r="C1" s="568"/>
      <c r="D1" s="568"/>
      <c r="E1" s="351"/>
      <c r="F1" s="64"/>
      <c r="G1" s="64"/>
      <c r="H1" s="64"/>
      <c r="I1" s="64"/>
    </row>
    <row r="2" spans="1:22" ht="18" customHeight="1" thickBot="1" x14ac:dyDescent="0.3">
      <c r="B2" s="568"/>
      <c r="C2" s="568"/>
      <c r="D2" s="568"/>
      <c r="E2" s="63"/>
      <c r="F2" s="64"/>
      <c r="G2" s="64"/>
      <c r="H2" s="64"/>
      <c r="I2" s="561" t="s">
        <v>530</v>
      </c>
      <c r="J2" s="562"/>
      <c r="K2" s="563"/>
      <c r="L2" s="491"/>
      <c r="N2" s="352"/>
    </row>
    <row r="3" spans="1:22" ht="18" customHeight="1" x14ac:dyDescent="0.25">
      <c r="E3" s="353"/>
      <c r="F3" s="64"/>
      <c r="G3" s="64"/>
      <c r="H3" s="64"/>
      <c r="I3" s="64"/>
    </row>
    <row r="4" spans="1:22" ht="18" customHeight="1" thickBot="1" x14ac:dyDescent="0.3">
      <c r="B4" s="57" t="s">
        <v>51</v>
      </c>
      <c r="E4" s="354"/>
      <c r="F4" s="355"/>
      <c r="G4" s="356"/>
      <c r="H4" s="64"/>
      <c r="I4" s="64"/>
    </row>
    <row r="5" spans="1:22" ht="18" customHeight="1" thickTop="1" thickBot="1" x14ac:dyDescent="0.3">
      <c r="B5" s="569" t="s">
        <v>324</v>
      </c>
      <c r="C5" s="570"/>
      <c r="D5" s="571"/>
      <c r="E5" s="572"/>
      <c r="F5" s="572"/>
      <c r="G5" s="573"/>
      <c r="H5" s="64" t="s">
        <v>310</v>
      </c>
      <c r="K5" s="57" t="s">
        <v>52</v>
      </c>
    </row>
    <row r="6" spans="1:22" ht="18" customHeight="1" thickTop="1" thickBot="1" x14ac:dyDescent="0.3">
      <c r="B6" s="358"/>
      <c r="C6" s="63"/>
      <c r="D6" s="63"/>
      <c r="E6" s="359" t="s">
        <v>470</v>
      </c>
      <c r="F6" s="63"/>
      <c r="G6" s="360"/>
      <c r="H6" s="361" t="s">
        <v>311</v>
      </c>
      <c r="I6" s="362" t="s">
        <v>312</v>
      </c>
      <c r="K6" s="326" t="s">
        <v>53</v>
      </c>
      <c r="L6" s="363" t="s">
        <v>54</v>
      </c>
      <c r="M6" s="357" t="s">
        <v>55</v>
      </c>
      <c r="N6" s="364" t="s">
        <v>56</v>
      </c>
    </row>
    <row r="7" spans="1:22" ht="18" customHeight="1" thickBot="1" x14ac:dyDescent="0.3">
      <c r="B7" s="365" t="s">
        <v>57</v>
      </c>
      <c r="C7" s="589"/>
      <c r="D7" s="590"/>
      <c r="E7" s="158" t="s">
        <v>58</v>
      </c>
      <c r="F7" s="576"/>
      <c r="G7" s="577"/>
      <c r="H7" s="366" t="s">
        <v>313</v>
      </c>
      <c r="I7" s="456"/>
      <c r="J7" s="367" t="s">
        <v>218</v>
      </c>
      <c r="K7" s="480">
        <v>2000</v>
      </c>
      <c r="L7" s="481"/>
      <c r="M7" s="368" t="s">
        <v>214</v>
      </c>
      <c r="N7" s="369" t="s">
        <v>60</v>
      </c>
    </row>
    <row r="8" spans="1:22" ht="18" customHeight="1" thickBot="1" x14ac:dyDescent="0.3">
      <c r="B8" s="358"/>
      <c r="C8" s="63"/>
      <c r="D8" s="63"/>
      <c r="F8" s="370"/>
      <c r="G8" s="360"/>
      <c r="H8" s="366" t="s">
        <v>314</v>
      </c>
      <c r="I8" s="457"/>
      <c r="J8" s="367" t="s">
        <v>217</v>
      </c>
      <c r="K8" s="2">
        <f>+K7+1</f>
        <v>2001</v>
      </c>
      <c r="L8" s="482"/>
      <c r="M8" s="485"/>
      <c r="N8" s="488"/>
    </row>
    <row r="9" spans="1:22" ht="18" customHeight="1" thickBot="1" x14ac:dyDescent="0.3">
      <c r="B9" s="365" t="s">
        <v>589</v>
      </c>
      <c r="C9" s="371" t="str">
        <f>IF(C7=0,"",VLOOKUP(C7,Fields!I5:J109,2,FALSE))</f>
        <v/>
      </c>
      <c r="D9" s="367" t="s">
        <v>588</v>
      </c>
      <c r="E9" s="455"/>
      <c r="F9" s="158" t="s">
        <v>587</v>
      </c>
      <c r="G9" s="238">
        <f>IF(F7=0,0,VLOOKUP(F7,Fields!$B$11:$G$50,2))</f>
        <v>0</v>
      </c>
      <c r="H9" s="366" t="s">
        <v>315</v>
      </c>
      <c r="I9" s="457"/>
      <c r="K9" s="3">
        <f>+K8+1</f>
        <v>2002</v>
      </c>
      <c r="L9" s="483"/>
      <c r="M9" s="486"/>
      <c r="N9" s="489"/>
    </row>
    <row r="10" spans="1:22" ht="18" customHeight="1" thickBot="1" x14ac:dyDescent="0.3">
      <c r="B10" s="358"/>
      <c r="C10" s="63"/>
      <c r="D10" s="63"/>
      <c r="E10" s="63"/>
      <c r="F10" s="63"/>
      <c r="G10" s="360"/>
      <c r="H10" s="372" t="s">
        <v>316</v>
      </c>
      <c r="I10" s="373"/>
      <c r="K10" s="3">
        <f>+K9+1</f>
        <v>2003</v>
      </c>
      <c r="L10" s="483"/>
      <c r="M10" s="485"/>
      <c r="N10" s="488"/>
      <c r="O10" s="66"/>
    </row>
    <row r="11" spans="1:22" ht="18" customHeight="1" thickBot="1" x14ac:dyDescent="0.3">
      <c r="B11" s="374" t="s">
        <v>286</v>
      </c>
      <c r="C11" s="154"/>
      <c r="D11" s="375" t="str">
        <f>IF(E9=1,200,IF(E9=2,150,IF(E9=3,100,"     Enter category in C9!")))</f>
        <v xml:space="preserve">     Enter category in C9!</v>
      </c>
      <c r="E11" s="154"/>
      <c r="F11" s="566" t="s">
        <v>546</v>
      </c>
      <c r="G11" s="567"/>
      <c r="H11" s="376" t="s">
        <v>315</v>
      </c>
      <c r="I11" s="458"/>
      <c r="K11" s="3">
        <f>+K10+1</f>
        <v>2004</v>
      </c>
      <c r="L11" s="483"/>
      <c r="M11" s="486"/>
      <c r="N11" s="489"/>
    </row>
    <row r="12" spans="1:22" ht="18" customHeight="1" thickTop="1" thickBot="1" x14ac:dyDescent="0.3">
      <c r="B12" s="358"/>
      <c r="C12" s="63"/>
      <c r="F12" s="564" t="s">
        <v>543</v>
      </c>
      <c r="G12" s="565"/>
      <c r="H12" s="2" t="s">
        <v>317</v>
      </c>
      <c r="I12" s="377"/>
      <c r="K12" s="4">
        <f>+K11+1</f>
        <v>2005</v>
      </c>
      <c r="L12" s="484"/>
      <c r="M12" s="487"/>
      <c r="N12" s="490"/>
    </row>
    <row r="13" spans="1:22" ht="18" customHeight="1" thickTop="1" thickBot="1" x14ac:dyDescent="0.3">
      <c r="B13" s="578" t="s">
        <v>219</v>
      </c>
      <c r="C13" s="579"/>
      <c r="D13" s="63"/>
      <c r="E13" s="63"/>
      <c r="F13" s="564" t="s">
        <v>61</v>
      </c>
      <c r="G13" s="565"/>
      <c r="H13" s="378" t="s">
        <v>318</v>
      </c>
      <c r="I13" s="379"/>
      <c r="K13" s="60" t="s">
        <v>62</v>
      </c>
    </row>
    <row r="14" spans="1:22" ht="18" customHeight="1" thickBot="1" x14ac:dyDescent="0.3">
      <c r="B14" s="585" t="s">
        <v>220</v>
      </c>
      <c r="C14" s="586"/>
      <c r="D14" s="587"/>
      <c r="E14" s="588"/>
      <c r="F14" s="574"/>
      <c r="G14" s="575"/>
      <c r="H14" s="380" t="s">
        <v>315</v>
      </c>
      <c r="I14" s="459"/>
      <c r="K14" s="60" t="s">
        <v>63</v>
      </c>
    </row>
    <row r="15" spans="1:22" ht="18" customHeight="1" thickTop="1" thickBot="1" x14ac:dyDescent="0.3">
      <c r="B15" s="57" t="s">
        <v>263</v>
      </c>
      <c r="D15" s="381"/>
      <c r="R15" s="57" t="s">
        <v>64</v>
      </c>
    </row>
    <row r="16" spans="1:22" ht="18" customHeight="1" thickBot="1" x14ac:dyDescent="0.3">
      <c r="B16" s="582"/>
      <c r="C16" s="583"/>
      <c r="D16" s="584"/>
      <c r="H16" s="66" t="s">
        <v>65</v>
      </c>
      <c r="I16" s="381" t="str">
        <f>IF(COUNTA(I19:I20)&gt;1,"Enter only one soil type!","")</f>
        <v/>
      </c>
      <c r="L16" s="381" t="str">
        <f>IF(COUNTA(K19:K21)&gt;1,"Enter only one method!","")</f>
        <v/>
      </c>
      <c r="R16" s="57">
        <f>MAX(R17:R21)</f>
        <v>0</v>
      </c>
      <c r="T16" s="57" t="s">
        <v>66</v>
      </c>
      <c r="V16" s="57" t="s">
        <v>66</v>
      </c>
    </row>
    <row r="17" spans="2:22" ht="18" customHeight="1" thickTop="1" thickBot="1" x14ac:dyDescent="0.3">
      <c r="E17" s="60"/>
      <c r="F17" s="60"/>
      <c r="H17" s="382" t="s">
        <v>222</v>
      </c>
      <c r="I17" s="383"/>
      <c r="J17" s="384" t="s">
        <v>67</v>
      </c>
      <c r="K17" s="385"/>
      <c r="L17" s="386" t="s">
        <v>68</v>
      </c>
      <c r="M17" s="387" t="s">
        <v>69</v>
      </c>
      <c r="N17" s="388" t="s">
        <v>70</v>
      </c>
      <c r="R17" s="57">
        <f>IF(D16="x",1,0)</f>
        <v>0</v>
      </c>
      <c r="T17" s="57" t="s">
        <v>71</v>
      </c>
      <c r="V17" s="57" t="s">
        <v>71</v>
      </c>
    </row>
    <row r="18" spans="2:22" ht="18" customHeight="1" thickTop="1" thickBot="1" x14ac:dyDescent="0.3">
      <c r="B18" s="389" t="s">
        <v>477</v>
      </c>
      <c r="C18" s="390"/>
      <c r="D18" s="391"/>
      <c r="E18" s="392"/>
      <c r="F18" s="393"/>
      <c r="H18" s="394" t="s">
        <v>221</v>
      </c>
      <c r="I18" s="395"/>
      <c r="J18" s="396" t="s">
        <v>72</v>
      </c>
      <c r="K18" s="397"/>
      <c r="L18" s="398" t="s">
        <v>325</v>
      </c>
      <c r="M18" s="473"/>
      <c r="N18" s="474"/>
      <c r="R18" s="57">
        <f>IF(D18="x",2,0)</f>
        <v>0</v>
      </c>
      <c r="T18" s="57">
        <f>MAX(T19:T22)</f>
        <v>0</v>
      </c>
      <c r="V18" s="57" t="e">
        <f>IF(I19="x",1.1,IF(I20="x",1,1/0))</f>
        <v>#DIV/0!</v>
      </c>
    </row>
    <row r="19" spans="2:22" ht="18.75" customHeight="1" thickTop="1" x14ac:dyDescent="0.25">
      <c r="B19" s="399"/>
      <c r="C19" s="399" t="s">
        <v>479</v>
      </c>
      <c r="D19" s="400" t="s">
        <v>513</v>
      </c>
      <c r="E19" s="401" t="s">
        <v>480</v>
      </c>
      <c r="F19" s="402" t="s">
        <v>482</v>
      </c>
      <c r="H19" s="403" t="s">
        <v>223</v>
      </c>
      <c r="I19" s="478"/>
      <c r="J19" s="358" t="s">
        <v>225</v>
      </c>
      <c r="K19" s="477"/>
      <c r="L19" s="404" t="s">
        <v>326</v>
      </c>
      <c r="M19" s="475"/>
      <c r="N19" s="405" t="s">
        <v>214</v>
      </c>
      <c r="R19" s="57">
        <f>IF(D19="x",3,0)</f>
        <v>0</v>
      </c>
      <c r="T19" s="57">
        <f>IF(K19="x",1,0)</f>
        <v>0</v>
      </c>
    </row>
    <row r="20" spans="2:22" ht="18" customHeight="1" thickBot="1" x14ac:dyDescent="0.3">
      <c r="B20" s="406" t="s">
        <v>478</v>
      </c>
      <c r="C20" s="406" t="s">
        <v>485</v>
      </c>
      <c r="D20" s="407" t="s">
        <v>607</v>
      </c>
      <c r="E20" s="408" t="s">
        <v>481</v>
      </c>
      <c r="F20" s="409" t="s">
        <v>483</v>
      </c>
      <c r="H20" s="372" t="s">
        <v>224</v>
      </c>
      <c r="I20" s="479"/>
      <c r="J20" s="410" t="s">
        <v>226</v>
      </c>
      <c r="K20" s="475"/>
      <c r="L20" s="404" t="s">
        <v>327</v>
      </c>
      <c r="M20" s="475"/>
      <c r="N20" s="405" t="s">
        <v>214</v>
      </c>
      <c r="R20" s="57">
        <f>IF(D20="x",4,0)</f>
        <v>0</v>
      </c>
      <c r="T20" s="57">
        <f>IF(K20="x",2,0)</f>
        <v>0</v>
      </c>
    </row>
    <row r="21" spans="2:22" ht="18" customHeight="1" thickBot="1" x14ac:dyDescent="0.3">
      <c r="B21" s="269">
        <f>K7</f>
        <v>2000</v>
      </c>
      <c r="C21" s="460"/>
      <c r="D21" s="461"/>
      <c r="E21" s="232">
        <f>IF(Input!$R$24&gt;4,(C21*0.037/27),IF(Input!$R$24&lt;5,C21/1000))</f>
        <v>0</v>
      </c>
      <c r="F21" s="233" t="e">
        <f>IF(Input!$R$24&gt;4,(D21/1000*E21),IF(Input!$R$24&lt;5,(D21*E21)))/$G$9</f>
        <v>#DIV/0!</v>
      </c>
      <c r="H21" s="411"/>
      <c r="I21" s="412"/>
      <c r="J21" s="413" t="s">
        <v>227</v>
      </c>
      <c r="K21" s="476"/>
      <c r="L21" s="414" t="s">
        <v>328</v>
      </c>
      <c r="M21" s="476"/>
      <c r="N21" s="415" t="s">
        <v>214</v>
      </c>
      <c r="R21" s="57">
        <f>IF(D21="x",5,0)</f>
        <v>0</v>
      </c>
      <c r="T21" s="57">
        <f>IF(K21="x",3,0)</f>
        <v>0</v>
      </c>
    </row>
    <row r="22" spans="2:22" ht="18" customHeight="1" thickTop="1" thickBot="1" x14ac:dyDescent="0.3">
      <c r="B22" s="416">
        <f>B21-1</f>
        <v>1999</v>
      </c>
      <c r="C22" s="462"/>
      <c r="D22" s="463"/>
      <c r="E22" s="234">
        <f>IF(Input!$R$24&gt;4,(C22*0.018/27),IF(Input!$R$24&lt;5,C22/2000))</f>
        <v>0</v>
      </c>
      <c r="F22" s="233" t="e">
        <f>IF(Input!$R$24&gt;4,(D22/1000*E22),IF(Input!$R$24&lt;5,(D22*E22)))/$G$9</f>
        <v>#DIV/0!</v>
      </c>
    </row>
    <row r="23" spans="2:22" ht="18" customHeight="1" thickBot="1" x14ac:dyDescent="0.3">
      <c r="B23" s="417"/>
      <c r="C23" s="580" t="s">
        <v>484</v>
      </c>
      <c r="D23" s="580"/>
      <c r="E23" s="581"/>
      <c r="F23" s="235" t="e">
        <f>SUM(F21:F22)</f>
        <v>#DIV/0!</v>
      </c>
      <c r="G23" s="418"/>
      <c r="H23" s="181"/>
      <c r="I23" s="181"/>
      <c r="J23" s="57" t="s">
        <v>540</v>
      </c>
      <c r="M23" s="381" t="str">
        <f>IF(COUNTA(N25:N32)&gt;1,"Enter only one type!","")</f>
        <v/>
      </c>
      <c r="R23" s="57" t="s">
        <v>545</v>
      </c>
    </row>
    <row r="24" spans="2:22" ht="18" customHeight="1" thickTop="1" thickBot="1" x14ac:dyDescent="0.3">
      <c r="G24" s="63"/>
      <c r="H24" s="64"/>
      <c r="I24" s="419"/>
      <c r="J24" s="67" t="s">
        <v>541</v>
      </c>
      <c r="K24" s="420"/>
      <c r="L24" s="421" t="s">
        <v>85</v>
      </c>
      <c r="M24" s="420"/>
      <c r="N24" s="422"/>
      <c r="R24" s="57">
        <f>MAX(R25:R32)</f>
        <v>0</v>
      </c>
      <c r="U24" s="57">
        <f>MAX(U25:U32)</f>
        <v>0</v>
      </c>
    </row>
    <row r="25" spans="2:22" ht="18" customHeight="1" thickTop="1" thickBot="1" x14ac:dyDescent="0.3">
      <c r="B25" s="57" t="s">
        <v>4</v>
      </c>
      <c r="E25" s="367" t="s">
        <v>3</v>
      </c>
      <c r="F25" s="464"/>
      <c r="G25" s="63"/>
      <c r="H25" s="64"/>
      <c r="I25" s="64"/>
      <c r="J25" s="423" t="s">
        <v>281</v>
      </c>
      <c r="K25" s="424"/>
      <c r="L25" s="424"/>
      <c r="M25" s="424"/>
      <c r="N25" s="470"/>
      <c r="R25" s="57">
        <f>IF(N25="x",1,0)</f>
        <v>0</v>
      </c>
      <c r="S25" s="57">
        <f>IF(N25="x",1,0)</f>
        <v>0</v>
      </c>
      <c r="T25" s="57">
        <v>0.75</v>
      </c>
      <c r="U25" s="57">
        <f>+S25*T25</f>
        <v>0</v>
      </c>
    </row>
    <row r="26" spans="2:22" ht="18" customHeight="1" thickTop="1" thickBot="1" x14ac:dyDescent="0.3">
      <c r="B26" s="67" t="s">
        <v>80</v>
      </c>
      <c r="C26" s="425" t="s">
        <v>7</v>
      </c>
      <c r="D26" s="426" t="s">
        <v>82</v>
      </c>
      <c r="E26" s="426" t="s">
        <v>83</v>
      </c>
      <c r="F26" s="388" t="s">
        <v>84</v>
      </c>
      <c r="G26" s="63"/>
      <c r="H26" s="64"/>
      <c r="I26" s="64"/>
      <c r="J26" s="427" t="s">
        <v>88</v>
      </c>
      <c r="K26" s="428"/>
      <c r="L26" s="428"/>
      <c r="M26" s="428"/>
      <c r="N26" s="471"/>
      <c r="R26" s="57">
        <f>IF(N26="x",2,0)</f>
        <v>0</v>
      </c>
      <c r="S26" s="57">
        <f t="shared" ref="S26:S32" si="0">IF(N26="x",1,0)</f>
        <v>0</v>
      </c>
      <c r="T26" s="57">
        <v>0.25</v>
      </c>
      <c r="U26" s="57">
        <f t="shared" ref="U26:U32" si="1">+S26*T26</f>
        <v>0</v>
      </c>
    </row>
    <row r="27" spans="2:22" ht="18" customHeight="1" x14ac:dyDescent="0.25">
      <c r="B27" s="429" t="s">
        <v>86</v>
      </c>
      <c r="C27" s="465"/>
      <c r="D27" s="236">
        <f t="shared" ref="D27:D32" si="2">C27</f>
        <v>0</v>
      </c>
      <c r="E27" s="236">
        <f t="shared" ref="E27:E34" si="3">IF(F$25="Liquid",C27*0.2265,0)</f>
        <v>0</v>
      </c>
      <c r="F27" s="213">
        <f t="shared" ref="F27:F34" si="4">IF(F$25="Solid",C27/500,0)</f>
        <v>0</v>
      </c>
      <c r="G27" s="63"/>
      <c r="H27" s="64"/>
      <c r="I27" s="64"/>
      <c r="J27" s="423" t="s">
        <v>282</v>
      </c>
      <c r="K27" s="424"/>
      <c r="L27" s="424"/>
      <c r="M27" s="424"/>
      <c r="N27" s="470"/>
      <c r="R27" s="57">
        <f>IF(N27="x",3,0)</f>
        <v>0</v>
      </c>
      <c r="S27" s="57">
        <f t="shared" si="0"/>
        <v>0</v>
      </c>
      <c r="T27" s="57">
        <v>0.75</v>
      </c>
      <c r="U27" s="57">
        <f t="shared" si="1"/>
        <v>0</v>
      </c>
    </row>
    <row r="28" spans="2:22" ht="18" customHeight="1" thickBot="1" x14ac:dyDescent="0.3">
      <c r="B28" s="430" t="s">
        <v>87</v>
      </c>
      <c r="C28" s="466"/>
      <c r="D28" s="237">
        <f t="shared" si="2"/>
        <v>0</v>
      </c>
      <c r="E28" s="237">
        <f t="shared" si="3"/>
        <v>0</v>
      </c>
      <c r="F28" s="1">
        <f t="shared" si="4"/>
        <v>0</v>
      </c>
      <c r="G28" s="63"/>
      <c r="H28" s="431"/>
      <c r="I28" s="64"/>
      <c r="J28" s="427" t="s">
        <v>89</v>
      </c>
      <c r="K28" s="428"/>
      <c r="L28" s="428"/>
      <c r="M28" s="428"/>
      <c r="N28" s="471"/>
      <c r="R28" s="57">
        <f>IF(N28="x",4,0)</f>
        <v>0</v>
      </c>
      <c r="S28" s="57">
        <f t="shared" si="0"/>
        <v>0</v>
      </c>
      <c r="T28" s="57">
        <v>0.25</v>
      </c>
      <c r="U28" s="57">
        <f t="shared" si="1"/>
        <v>0</v>
      </c>
    </row>
    <row r="29" spans="2:22" ht="18" customHeight="1" x14ac:dyDescent="0.25">
      <c r="B29" s="430" t="s">
        <v>492</v>
      </c>
      <c r="C29" s="466"/>
      <c r="D29" s="237">
        <f t="shared" si="2"/>
        <v>0</v>
      </c>
      <c r="E29" s="237">
        <f t="shared" si="3"/>
        <v>0</v>
      </c>
      <c r="F29" s="1">
        <f t="shared" si="4"/>
        <v>0</v>
      </c>
      <c r="G29" s="381" t="s">
        <v>319</v>
      </c>
      <c r="H29" s="432"/>
      <c r="J29" s="423" t="s">
        <v>283</v>
      </c>
      <c r="K29" s="424"/>
      <c r="L29" s="424"/>
      <c r="M29" s="424"/>
      <c r="N29" s="470"/>
      <c r="R29" s="57">
        <f>IF(N29="x",5,0)</f>
        <v>0</v>
      </c>
      <c r="S29" s="57">
        <f t="shared" si="0"/>
        <v>0</v>
      </c>
      <c r="T29" s="57">
        <v>0.75</v>
      </c>
      <c r="U29" s="57">
        <f t="shared" si="1"/>
        <v>0</v>
      </c>
    </row>
    <row r="30" spans="2:22" ht="18" customHeight="1" thickBot="1" x14ac:dyDescent="0.3">
      <c r="B30" s="430" t="s">
        <v>491</v>
      </c>
      <c r="C30" s="466"/>
      <c r="D30" s="237">
        <f t="shared" si="2"/>
        <v>0</v>
      </c>
      <c r="E30" s="237">
        <f t="shared" si="3"/>
        <v>0</v>
      </c>
      <c r="F30" s="1">
        <f t="shared" si="4"/>
        <v>0</v>
      </c>
      <c r="G30" s="381" t="s">
        <v>320</v>
      </c>
      <c r="H30" s="433"/>
      <c r="J30" s="427" t="s">
        <v>91</v>
      </c>
      <c r="K30" s="428"/>
      <c r="L30" s="428"/>
      <c r="M30" s="428"/>
      <c r="N30" s="471"/>
      <c r="R30" s="57">
        <f>IF(N30="x",6,0)</f>
        <v>0</v>
      </c>
      <c r="S30" s="57">
        <f t="shared" si="0"/>
        <v>0</v>
      </c>
      <c r="T30" s="57">
        <v>0.25</v>
      </c>
      <c r="U30" s="57">
        <f t="shared" si="1"/>
        <v>0</v>
      </c>
    </row>
    <row r="31" spans="2:22" ht="18" customHeight="1" x14ac:dyDescent="0.25">
      <c r="B31" s="430" t="s">
        <v>490</v>
      </c>
      <c r="C31" s="466"/>
      <c r="D31" s="237">
        <f t="shared" si="2"/>
        <v>0</v>
      </c>
      <c r="E31" s="237">
        <f t="shared" si="3"/>
        <v>0</v>
      </c>
      <c r="F31" s="1">
        <f t="shared" si="4"/>
        <v>0</v>
      </c>
      <c r="G31" s="381" t="s">
        <v>488</v>
      </c>
      <c r="H31" s="432"/>
      <c r="J31" s="423" t="s">
        <v>284</v>
      </c>
      <c r="K31" s="424"/>
      <c r="L31" s="424"/>
      <c r="M31" s="424"/>
      <c r="N31" s="470"/>
      <c r="R31" s="57">
        <f>IF(N31="x",7,0)</f>
        <v>0</v>
      </c>
      <c r="S31" s="57">
        <f t="shared" si="0"/>
        <v>0</v>
      </c>
      <c r="T31" s="57">
        <v>0.75</v>
      </c>
      <c r="U31" s="57">
        <f t="shared" si="1"/>
        <v>0</v>
      </c>
    </row>
    <row r="32" spans="2:22" ht="18" customHeight="1" thickBot="1" x14ac:dyDescent="0.3">
      <c r="B32" s="434" t="s">
        <v>313</v>
      </c>
      <c r="C32" s="466"/>
      <c r="D32" s="237">
        <f t="shared" si="2"/>
        <v>0</v>
      </c>
      <c r="E32" s="237">
        <f t="shared" si="3"/>
        <v>0</v>
      </c>
      <c r="F32" s="1">
        <f t="shared" si="4"/>
        <v>0</v>
      </c>
      <c r="H32" s="283"/>
      <c r="J32" s="413" t="s">
        <v>93</v>
      </c>
      <c r="K32" s="355"/>
      <c r="L32" s="355"/>
      <c r="M32" s="355"/>
      <c r="N32" s="472"/>
      <c r="R32" s="57">
        <f>IF(N32="x",8,0)</f>
        <v>0</v>
      </c>
      <c r="S32" s="57">
        <f t="shared" si="0"/>
        <v>0</v>
      </c>
      <c r="T32" s="57">
        <v>0.25</v>
      </c>
      <c r="U32" s="57">
        <f t="shared" si="1"/>
        <v>0</v>
      </c>
    </row>
    <row r="33" spans="2:14" ht="18" customHeight="1" thickTop="1" x14ac:dyDescent="0.25">
      <c r="B33" s="435" t="s">
        <v>314</v>
      </c>
      <c r="C33" s="466"/>
      <c r="D33" s="237">
        <f>C33</f>
        <v>0</v>
      </c>
      <c r="E33" s="237">
        <f t="shared" si="3"/>
        <v>0</v>
      </c>
      <c r="F33" s="1">
        <f t="shared" si="4"/>
        <v>0</v>
      </c>
      <c r="H33" s="436"/>
      <c r="K33" s="437" t="str">
        <f>IF(AND(F25="Liquid",R24&lt;5),"Manure analysis (F23) and Manure Information are inconsistent!",IF(AND(F25="Solid",R24&gt;4),"Manure analysis (F23) and Manure Information are inconsistent!",""))</f>
        <v/>
      </c>
    </row>
    <row r="34" spans="2:14" ht="18" customHeight="1" thickBot="1" x14ac:dyDescent="0.3">
      <c r="B34" s="438" t="s">
        <v>315</v>
      </c>
      <c r="C34" s="467"/>
      <c r="D34" s="237">
        <f>C34</f>
        <v>0</v>
      </c>
      <c r="E34" s="237">
        <f t="shared" si="3"/>
        <v>0</v>
      </c>
      <c r="F34" s="1">
        <f t="shared" si="4"/>
        <v>0</v>
      </c>
    </row>
    <row r="35" spans="2:14" ht="18" customHeight="1" thickTop="1" thickBot="1" x14ac:dyDescent="0.3">
      <c r="B35" s="67" t="s">
        <v>544</v>
      </c>
      <c r="C35" s="420"/>
      <c r="D35" s="420"/>
      <c r="E35" s="420"/>
      <c r="F35" s="420"/>
      <c r="G35" s="439"/>
      <c r="H35" s="440"/>
      <c r="I35" s="440"/>
      <c r="J35" s="441"/>
      <c r="K35" s="64"/>
      <c r="L35" s="442"/>
      <c r="M35" s="442"/>
      <c r="N35" s="64"/>
    </row>
    <row r="36" spans="2:14" ht="18" customHeight="1" x14ac:dyDescent="0.25">
      <c r="B36" s="423" t="s">
        <v>292</v>
      </c>
      <c r="C36" s="443">
        <f>+K7</f>
        <v>2000</v>
      </c>
      <c r="D36" s="468"/>
      <c r="E36" s="441" t="s">
        <v>486</v>
      </c>
      <c r="F36" s="441"/>
      <c r="G36" s="444"/>
      <c r="H36" s="239"/>
      <c r="I36" s="239"/>
      <c r="J36" s="239"/>
      <c r="K36" s="64"/>
      <c r="L36" s="442"/>
      <c r="M36" s="442"/>
      <c r="N36" s="64"/>
    </row>
    <row r="37" spans="2:14" ht="18" customHeight="1" thickBot="1" x14ac:dyDescent="0.3">
      <c r="B37" s="413" t="s">
        <v>293</v>
      </c>
      <c r="C37" s="445">
        <f>+C36-1</f>
        <v>1999</v>
      </c>
      <c r="D37" s="469"/>
      <c r="E37" s="446" t="s">
        <v>487</v>
      </c>
      <c r="F37" s="447"/>
      <c r="G37" s="448"/>
      <c r="H37" s="239"/>
      <c r="I37" s="239"/>
      <c r="J37" s="239"/>
      <c r="K37" s="442"/>
      <c r="L37" s="442"/>
      <c r="M37" s="442"/>
      <c r="N37" s="442"/>
    </row>
    <row r="38" spans="2:14" ht="15" customHeight="1" thickTop="1" x14ac:dyDescent="0.25">
      <c r="B38" s="367" t="s">
        <v>469</v>
      </c>
      <c r="C38" s="239"/>
      <c r="D38" s="239"/>
      <c r="E38" s="239"/>
      <c r="F38" s="239"/>
      <c r="G38" s="239"/>
      <c r="H38" s="239"/>
      <c r="I38" s="239"/>
      <c r="J38" s="239"/>
      <c r="K38" s="63"/>
      <c r="L38" s="63"/>
      <c r="M38" s="63"/>
      <c r="N38" s="63"/>
    </row>
    <row r="39" spans="2:14" ht="15" customHeight="1" x14ac:dyDescent="0.25">
      <c r="C39" s="239"/>
      <c r="D39" s="239"/>
      <c r="E39" s="239"/>
      <c r="F39" s="239"/>
      <c r="G39" s="239"/>
      <c r="H39" s="239"/>
      <c r="I39" s="239"/>
      <c r="J39" s="239"/>
      <c r="K39" s="63"/>
      <c r="L39" s="63"/>
      <c r="M39" s="63"/>
      <c r="N39" s="63"/>
    </row>
    <row r="40" spans="2:14" ht="15" customHeight="1" x14ac:dyDescent="0.25">
      <c r="C40" s="239"/>
      <c r="D40" s="239"/>
      <c r="E40" s="239"/>
      <c r="F40" s="239"/>
      <c r="G40" s="239"/>
      <c r="H40" s="239"/>
      <c r="I40" s="239"/>
      <c r="J40" s="239"/>
    </row>
    <row r="41" spans="2:14" ht="18" customHeight="1" x14ac:dyDescent="0.25">
      <c r="B41" s="63"/>
      <c r="C41" s="239"/>
      <c r="D41" s="239"/>
      <c r="E41" s="239"/>
      <c r="F41" s="239"/>
      <c r="G41" s="239"/>
      <c r="H41" s="239"/>
      <c r="I41" s="239"/>
      <c r="J41" s="239"/>
      <c r="K41" s="63"/>
      <c r="L41" s="63"/>
      <c r="M41" s="359"/>
      <c r="N41" s="63"/>
    </row>
    <row r="42" spans="2:14" ht="18" customHeight="1" x14ac:dyDescent="0.25">
      <c r="B42" s="63"/>
      <c r="C42" s="239"/>
      <c r="D42" s="239"/>
      <c r="E42" s="239"/>
      <c r="F42" s="239"/>
      <c r="G42" s="239"/>
      <c r="H42" s="239"/>
      <c r="I42" s="239"/>
      <c r="J42" s="239"/>
      <c r="K42" s="63"/>
      <c r="L42" s="181"/>
      <c r="M42" s="63"/>
      <c r="N42" s="63"/>
    </row>
    <row r="43" spans="2:14" ht="18" customHeight="1" x14ac:dyDescent="0.25">
      <c r="B43" s="63"/>
      <c r="C43" s="63"/>
      <c r="D43" s="63"/>
      <c r="E43" s="63"/>
      <c r="F43" s="63"/>
      <c r="G43" s="63"/>
      <c r="H43" s="64"/>
      <c r="I43" s="64"/>
      <c r="J43" s="63"/>
      <c r="K43" s="63"/>
      <c r="L43" s="63"/>
      <c r="M43" s="63"/>
      <c r="N43" s="449"/>
    </row>
    <row r="44" spans="2:14" ht="18" customHeight="1" x14ac:dyDescent="0.25">
      <c r="B44" s="63"/>
      <c r="C44" s="63"/>
      <c r="D44" s="63"/>
      <c r="E44" s="63"/>
      <c r="F44" s="63"/>
      <c r="G44" s="63"/>
      <c r="H44" s="64"/>
      <c r="I44" s="64"/>
      <c r="J44" s="63"/>
      <c r="K44" s="63"/>
      <c r="L44" s="63"/>
      <c r="M44" s="63"/>
      <c r="N44" s="449"/>
    </row>
    <row r="45" spans="2:14" x14ac:dyDescent="0.25">
      <c r="B45" s="63"/>
      <c r="C45" s="63"/>
      <c r="D45" s="63"/>
      <c r="E45" s="63"/>
      <c r="F45" s="63"/>
      <c r="G45" s="63"/>
      <c r="H45" s="64"/>
      <c r="I45" s="64"/>
      <c r="J45" s="63"/>
      <c r="K45" s="63"/>
      <c r="L45" s="63"/>
      <c r="M45" s="63"/>
      <c r="N45" s="449"/>
    </row>
    <row r="46" spans="2:14" ht="18" customHeight="1" x14ac:dyDescent="0.25">
      <c r="B46" s="63"/>
      <c r="C46" s="63"/>
      <c r="D46" s="63"/>
      <c r="E46" s="63"/>
      <c r="F46" s="63"/>
      <c r="G46" s="63"/>
      <c r="H46" s="64"/>
      <c r="I46" s="64"/>
      <c r="J46" s="63"/>
      <c r="K46" s="63"/>
      <c r="L46" s="63"/>
      <c r="M46" s="63"/>
      <c r="N46" s="449"/>
    </row>
    <row r="47" spans="2:14" x14ac:dyDescent="0.25">
      <c r="B47" s="63"/>
      <c r="C47" s="63"/>
      <c r="D47" s="63"/>
      <c r="E47" s="63"/>
      <c r="F47" s="63"/>
      <c r="G47" s="63"/>
      <c r="H47" s="64"/>
      <c r="I47" s="64"/>
      <c r="J47" s="63"/>
      <c r="K47" s="63"/>
      <c r="L47" s="63"/>
      <c r="M47" s="63"/>
      <c r="N47" s="63"/>
    </row>
    <row r="50" spans="1:9" x14ac:dyDescent="0.25">
      <c r="A50" s="57"/>
      <c r="F50" s="66"/>
      <c r="G50" s="66"/>
      <c r="H50" s="57"/>
      <c r="I50" s="57"/>
    </row>
    <row r="51" spans="1:9" x14ac:dyDescent="0.25">
      <c r="A51" s="57"/>
      <c r="D51" s="450"/>
      <c r="E51" s="450"/>
      <c r="F51" s="66"/>
      <c r="G51" s="66"/>
      <c r="H51" s="57"/>
      <c r="I51" s="57"/>
    </row>
    <row r="52" spans="1:9" x14ac:dyDescent="0.25">
      <c r="A52" s="57"/>
      <c r="D52" s="451"/>
      <c r="E52" s="452"/>
      <c r="F52" s="66"/>
      <c r="G52" s="66"/>
      <c r="H52" s="57"/>
      <c r="I52" s="57"/>
    </row>
    <row r="53" spans="1:9" x14ac:dyDescent="0.25">
      <c r="A53" s="57"/>
      <c r="D53" s="453"/>
      <c r="E53" s="454"/>
      <c r="F53" s="66"/>
      <c r="G53" s="66"/>
      <c r="H53" s="57"/>
      <c r="I53" s="57"/>
    </row>
    <row r="54" spans="1:9" x14ac:dyDescent="0.25">
      <c r="A54" s="57"/>
      <c r="D54" s="453"/>
      <c r="E54" s="454"/>
      <c r="F54" s="66"/>
      <c r="G54" s="66"/>
      <c r="H54" s="57"/>
      <c r="I54" s="57"/>
    </row>
    <row r="55" spans="1:9" x14ac:dyDescent="0.25">
      <c r="A55" s="57"/>
      <c r="D55" s="453"/>
      <c r="E55" s="454"/>
      <c r="F55" s="66"/>
      <c r="G55" s="66"/>
      <c r="H55" s="57"/>
      <c r="I55" s="57"/>
    </row>
    <row r="56" spans="1:9" x14ac:dyDescent="0.25">
      <c r="A56" s="57"/>
      <c r="D56" s="453"/>
      <c r="E56" s="454"/>
      <c r="F56" s="66"/>
      <c r="G56" s="66"/>
      <c r="H56" s="57"/>
      <c r="I56" s="57"/>
    </row>
    <row r="57" spans="1:9" x14ac:dyDescent="0.25">
      <c r="A57" s="57"/>
      <c r="D57" s="453"/>
      <c r="E57" s="454"/>
      <c r="F57" s="66"/>
      <c r="G57" s="66"/>
      <c r="H57" s="57"/>
      <c r="I57" s="57"/>
    </row>
    <row r="58" spans="1:9" x14ac:dyDescent="0.25">
      <c r="A58" s="57"/>
      <c r="D58" s="453"/>
      <c r="E58" s="454"/>
      <c r="F58" s="66"/>
      <c r="G58" s="66"/>
      <c r="H58" s="57"/>
      <c r="I58" s="57"/>
    </row>
    <row r="59" spans="1:9" x14ac:dyDescent="0.25">
      <c r="A59" s="57"/>
      <c r="D59" s="453"/>
      <c r="E59" s="454"/>
      <c r="F59" s="66"/>
      <c r="G59" s="66"/>
      <c r="H59" s="57"/>
      <c r="I59" s="57"/>
    </row>
    <row r="60" spans="1:9" x14ac:dyDescent="0.25">
      <c r="A60" s="57"/>
      <c r="D60" s="453"/>
      <c r="E60" s="454"/>
      <c r="F60" s="66"/>
      <c r="G60" s="66"/>
      <c r="H60" s="57"/>
      <c r="I60" s="57"/>
    </row>
    <row r="61" spans="1:9" x14ac:dyDescent="0.25">
      <c r="A61" s="57"/>
      <c r="D61" s="453"/>
      <c r="E61" s="454"/>
      <c r="F61" s="66"/>
      <c r="G61" s="66"/>
      <c r="H61" s="57"/>
      <c r="I61" s="57"/>
    </row>
    <row r="62" spans="1:9" x14ac:dyDescent="0.25">
      <c r="A62" s="57"/>
      <c r="D62" s="453"/>
      <c r="E62" s="454"/>
      <c r="F62" s="66"/>
      <c r="G62" s="66"/>
      <c r="H62" s="57"/>
      <c r="I62" s="57"/>
    </row>
    <row r="63" spans="1:9" x14ac:dyDescent="0.25">
      <c r="A63" s="57"/>
      <c r="D63" s="453"/>
      <c r="E63" s="454"/>
      <c r="F63" s="66"/>
      <c r="G63" s="66"/>
      <c r="H63" s="57"/>
      <c r="I63" s="57"/>
    </row>
    <row r="64" spans="1:9" x14ac:dyDescent="0.25">
      <c r="A64" s="57"/>
      <c r="D64" s="453"/>
      <c r="E64" s="454"/>
      <c r="F64" s="66"/>
      <c r="G64" s="66"/>
      <c r="H64" s="57"/>
      <c r="I64" s="57"/>
    </row>
    <row r="65" spans="1:9" x14ac:dyDescent="0.25">
      <c r="A65" s="57"/>
      <c r="D65" s="453"/>
      <c r="E65" s="454"/>
      <c r="F65" s="66"/>
      <c r="G65" s="66"/>
      <c r="H65" s="57"/>
      <c r="I65" s="57"/>
    </row>
    <row r="66" spans="1:9" x14ac:dyDescent="0.25">
      <c r="A66" s="57"/>
      <c r="D66" s="453"/>
      <c r="E66" s="454"/>
      <c r="F66" s="66"/>
      <c r="G66" s="66"/>
      <c r="H66" s="57"/>
      <c r="I66" s="57"/>
    </row>
    <row r="67" spans="1:9" x14ac:dyDescent="0.25">
      <c r="A67" s="57"/>
      <c r="D67" s="453"/>
      <c r="E67" s="454"/>
      <c r="F67" s="66"/>
      <c r="G67" s="66"/>
      <c r="H67" s="57"/>
      <c r="I67" s="57"/>
    </row>
    <row r="68" spans="1:9" x14ac:dyDescent="0.25">
      <c r="A68" s="57"/>
      <c r="F68" s="66"/>
      <c r="G68" s="66"/>
      <c r="H68" s="57"/>
      <c r="I68" s="57"/>
    </row>
    <row r="69" spans="1:9" x14ac:dyDescent="0.25">
      <c r="A69" s="57"/>
      <c r="F69" s="66"/>
      <c r="G69" s="66"/>
      <c r="H69" s="57"/>
      <c r="I69" s="57"/>
    </row>
    <row r="70" spans="1:9" x14ac:dyDescent="0.25">
      <c r="A70" s="57"/>
      <c r="F70" s="66"/>
      <c r="G70" s="66"/>
      <c r="H70" s="57"/>
      <c r="I70" s="57"/>
    </row>
    <row r="71" spans="1:9" x14ac:dyDescent="0.25">
      <c r="A71" s="57"/>
      <c r="F71" s="66"/>
      <c r="G71" s="66"/>
      <c r="H71" s="57"/>
      <c r="I71" s="57"/>
    </row>
    <row r="72" spans="1:9" x14ac:dyDescent="0.25">
      <c r="A72" s="57"/>
      <c r="F72" s="66"/>
      <c r="G72" s="66"/>
      <c r="H72" s="57"/>
      <c r="I72" s="57"/>
    </row>
    <row r="73" spans="1:9" x14ac:dyDescent="0.25">
      <c r="A73" s="57"/>
      <c r="F73" s="66"/>
      <c r="G73" s="66"/>
      <c r="H73" s="57"/>
      <c r="I73" s="57"/>
    </row>
    <row r="74" spans="1:9" x14ac:dyDescent="0.25">
      <c r="A74" s="57"/>
      <c r="F74" s="66"/>
      <c r="G74" s="66"/>
      <c r="H74" s="57"/>
      <c r="I74" s="57"/>
    </row>
    <row r="75" spans="1:9" x14ac:dyDescent="0.25">
      <c r="A75" s="57"/>
      <c r="F75" s="66"/>
      <c r="G75" s="66"/>
      <c r="H75" s="57"/>
      <c r="I75" s="57"/>
    </row>
    <row r="76" spans="1:9" x14ac:dyDescent="0.25">
      <c r="A76" s="57"/>
      <c r="F76" s="66"/>
      <c r="G76" s="66"/>
      <c r="H76" s="57"/>
      <c r="I76" s="57"/>
    </row>
    <row r="77" spans="1:9" x14ac:dyDescent="0.25">
      <c r="A77" s="57"/>
      <c r="F77" s="66"/>
      <c r="G77" s="66"/>
      <c r="H77" s="57"/>
      <c r="I77" s="57"/>
    </row>
    <row r="78" spans="1:9" x14ac:dyDescent="0.25">
      <c r="A78" s="57"/>
      <c r="F78" s="66"/>
      <c r="G78" s="66"/>
      <c r="H78" s="57"/>
      <c r="I78" s="57"/>
    </row>
    <row r="79" spans="1:9" x14ac:dyDescent="0.25">
      <c r="A79" s="57"/>
      <c r="F79" s="66"/>
      <c r="G79" s="66"/>
      <c r="H79" s="57"/>
      <c r="I79" s="57"/>
    </row>
    <row r="80" spans="1:9" x14ac:dyDescent="0.25">
      <c r="A80" s="57"/>
      <c r="F80" s="66"/>
      <c r="G80" s="66"/>
      <c r="H80" s="57"/>
      <c r="I80" s="57"/>
    </row>
    <row r="81" spans="1:9" x14ac:dyDescent="0.25">
      <c r="A81" s="57"/>
      <c r="F81" s="66"/>
      <c r="G81" s="66"/>
      <c r="H81" s="57"/>
      <c r="I81" s="57"/>
    </row>
    <row r="82" spans="1:9" x14ac:dyDescent="0.25">
      <c r="A82" s="57"/>
      <c r="F82" s="66"/>
      <c r="G82" s="66"/>
      <c r="H82" s="57"/>
      <c r="I82" s="57"/>
    </row>
    <row r="83" spans="1:9" x14ac:dyDescent="0.25">
      <c r="A83" s="57"/>
      <c r="F83" s="66"/>
      <c r="G83" s="66"/>
      <c r="H83" s="57"/>
      <c r="I83" s="57"/>
    </row>
    <row r="84" spans="1:9" x14ac:dyDescent="0.25">
      <c r="A84" s="57"/>
      <c r="F84" s="66"/>
      <c r="G84" s="66"/>
      <c r="H84" s="57"/>
      <c r="I84" s="57"/>
    </row>
    <row r="85" spans="1:9" x14ac:dyDescent="0.25">
      <c r="A85" s="57"/>
      <c r="F85" s="66"/>
      <c r="G85" s="66"/>
      <c r="H85" s="57"/>
      <c r="I85" s="57"/>
    </row>
    <row r="86" spans="1:9" x14ac:dyDescent="0.25">
      <c r="A86" s="57"/>
      <c r="F86" s="66"/>
      <c r="G86" s="66"/>
      <c r="H86" s="57"/>
      <c r="I86" s="57"/>
    </row>
    <row r="87" spans="1:9" x14ac:dyDescent="0.25">
      <c r="A87" s="57"/>
      <c r="F87" s="66"/>
      <c r="G87" s="66"/>
      <c r="H87" s="57"/>
      <c r="I87" s="57"/>
    </row>
    <row r="88" spans="1:9" x14ac:dyDescent="0.25">
      <c r="A88" s="57"/>
      <c r="F88" s="66"/>
      <c r="G88" s="66"/>
      <c r="H88" s="57"/>
      <c r="I88" s="57"/>
    </row>
    <row r="89" spans="1:9" x14ac:dyDescent="0.25">
      <c r="A89" s="57"/>
      <c r="F89" s="66"/>
      <c r="G89" s="66"/>
      <c r="H89" s="57"/>
      <c r="I89" s="57"/>
    </row>
    <row r="90" spans="1:9" x14ac:dyDescent="0.25">
      <c r="A90" s="57"/>
      <c r="F90" s="66"/>
      <c r="G90" s="66"/>
      <c r="H90" s="57"/>
      <c r="I90" s="57"/>
    </row>
    <row r="91" spans="1:9" x14ac:dyDescent="0.25">
      <c r="A91" s="57"/>
      <c r="F91" s="66"/>
      <c r="G91" s="66"/>
      <c r="H91" s="57"/>
      <c r="I91" s="57"/>
    </row>
    <row r="92" spans="1:9" x14ac:dyDescent="0.25">
      <c r="A92" s="57"/>
      <c r="F92" s="66"/>
      <c r="G92" s="66"/>
      <c r="H92" s="57"/>
      <c r="I92" s="57"/>
    </row>
    <row r="93" spans="1:9" x14ac:dyDescent="0.25">
      <c r="A93" s="57"/>
      <c r="F93" s="66"/>
      <c r="G93" s="66"/>
      <c r="H93" s="57"/>
      <c r="I93" s="57"/>
    </row>
    <row r="94" spans="1:9" x14ac:dyDescent="0.25">
      <c r="A94" s="57"/>
      <c r="F94" s="66"/>
      <c r="G94" s="66"/>
      <c r="H94" s="57"/>
      <c r="I94" s="57"/>
    </row>
    <row r="95" spans="1:9" x14ac:dyDescent="0.25">
      <c r="A95" s="57"/>
      <c r="F95" s="66"/>
      <c r="G95" s="66"/>
      <c r="H95" s="57"/>
      <c r="I95" s="57"/>
    </row>
    <row r="96" spans="1:9" x14ac:dyDescent="0.25">
      <c r="A96" s="57"/>
      <c r="F96" s="66"/>
      <c r="G96" s="66"/>
      <c r="H96" s="57"/>
      <c r="I96" s="57"/>
    </row>
    <row r="97" spans="1:9" x14ac:dyDescent="0.25">
      <c r="A97" s="57"/>
      <c r="F97" s="66"/>
      <c r="G97" s="66"/>
      <c r="H97" s="57"/>
      <c r="I97" s="57"/>
    </row>
    <row r="98" spans="1:9" x14ac:dyDescent="0.25">
      <c r="A98" s="57"/>
      <c r="F98" s="66"/>
      <c r="G98" s="66"/>
      <c r="H98" s="57"/>
      <c r="I98" s="57"/>
    </row>
    <row r="99" spans="1:9" x14ac:dyDescent="0.25">
      <c r="A99" s="57"/>
      <c r="F99" s="66"/>
      <c r="G99" s="66"/>
      <c r="H99" s="57"/>
      <c r="I99" s="57"/>
    </row>
    <row r="100" spans="1:9" x14ac:dyDescent="0.25">
      <c r="A100" s="57"/>
      <c r="F100" s="66"/>
      <c r="G100" s="66"/>
      <c r="H100" s="57"/>
      <c r="I100" s="57"/>
    </row>
    <row r="101" spans="1:9" x14ac:dyDescent="0.25">
      <c r="A101" s="57"/>
      <c r="F101" s="66"/>
      <c r="G101" s="66"/>
      <c r="H101" s="57"/>
      <c r="I101" s="57"/>
    </row>
    <row r="102" spans="1:9" x14ac:dyDescent="0.25">
      <c r="A102" s="57"/>
      <c r="F102" s="66"/>
      <c r="G102" s="66"/>
      <c r="H102" s="57"/>
      <c r="I102" s="57"/>
    </row>
    <row r="103" spans="1:9" x14ac:dyDescent="0.25">
      <c r="A103" s="57"/>
      <c r="F103" s="66"/>
      <c r="G103" s="66"/>
      <c r="H103" s="57"/>
      <c r="I103" s="57"/>
    </row>
    <row r="104" spans="1:9" x14ac:dyDescent="0.25">
      <c r="A104" s="57"/>
      <c r="F104" s="66"/>
      <c r="G104" s="66"/>
      <c r="H104" s="57"/>
      <c r="I104" s="57"/>
    </row>
    <row r="105" spans="1:9" x14ac:dyDescent="0.25">
      <c r="A105" s="57"/>
      <c r="F105" s="66"/>
      <c r="G105" s="66"/>
      <c r="H105" s="57"/>
      <c r="I105" s="57"/>
    </row>
    <row r="106" spans="1:9" x14ac:dyDescent="0.25">
      <c r="A106" s="57"/>
      <c r="F106" s="66"/>
      <c r="G106" s="66"/>
      <c r="H106" s="57"/>
      <c r="I106" s="57"/>
    </row>
    <row r="107" spans="1:9" x14ac:dyDescent="0.25">
      <c r="A107" s="57"/>
      <c r="F107" s="66"/>
      <c r="G107" s="66"/>
      <c r="H107" s="57"/>
      <c r="I107" s="57"/>
    </row>
    <row r="108" spans="1:9" x14ac:dyDescent="0.25">
      <c r="A108" s="57"/>
      <c r="F108" s="66"/>
      <c r="G108" s="66"/>
      <c r="H108" s="57"/>
      <c r="I108" s="57"/>
    </row>
    <row r="109" spans="1:9" x14ac:dyDescent="0.25">
      <c r="A109" s="57"/>
      <c r="F109" s="66"/>
      <c r="G109" s="66"/>
      <c r="H109" s="57"/>
      <c r="I109" s="57"/>
    </row>
    <row r="110" spans="1:9" x14ac:dyDescent="0.25">
      <c r="A110" s="57"/>
      <c r="F110" s="66"/>
      <c r="G110" s="66"/>
      <c r="H110" s="57"/>
      <c r="I110" s="57"/>
    </row>
    <row r="111" spans="1:9" x14ac:dyDescent="0.25">
      <c r="A111" s="57"/>
      <c r="F111" s="66"/>
      <c r="G111" s="66"/>
      <c r="H111" s="57"/>
      <c r="I111" s="57"/>
    </row>
    <row r="112" spans="1:9" x14ac:dyDescent="0.25">
      <c r="A112" s="57"/>
      <c r="F112" s="66"/>
      <c r="G112" s="66"/>
      <c r="H112" s="57"/>
      <c r="I112" s="57"/>
    </row>
    <row r="113" spans="1:9" x14ac:dyDescent="0.25">
      <c r="A113" s="57"/>
      <c r="F113" s="66"/>
      <c r="G113" s="66"/>
      <c r="H113" s="57"/>
      <c r="I113" s="57"/>
    </row>
    <row r="114" spans="1:9" x14ac:dyDescent="0.25">
      <c r="A114" s="57"/>
      <c r="F114" s="66"/>
      <c r="G114" s="66"/>
      <c r="H114" s="57"/>
      <c r="I114" s="57"/>
    </row>
    <row r="115" spans="1:9" x14ac:dyDescent="0.25">
      <c r="A115" s="57"/>
      <c r="F115" s="66"/>
      <c r="G115" s="66"/>
      <c r="H115" s="57"/>
      <c r="I115" s="57"/>
    </row>
    <row r="116" spans="1:9" x14ac:dyDescent="0.25">
      <c r="A116" s="57"/>
      <c r="F116" s="66"/>
      <c r="G116" s="66"/>
      <c r="H116" s="57"/>
      <c r="I116" s="57"/>
    </row>
    <row r="117" spans="1:9" x14ac:dyDescent="0.25">
      <c r="A117" s="57"/>
      <c r="F117" s="66"/>
      <c r="G117" s="66"/>
      <c r="H117" s="57"/>
      <c r="I117" s="57"/>
    </row>
    <row r="118" spans="1:9" x14ac:dyDescent="0.25">
      <c r="A118" s="57"/>
      <c r="F118" s="66"/>
      <c r="G118" s="66"/>
      <c r="H118" s="57"/>
      <c r="I118" s="57"/>
    </row>
    <row r="119" spans="1:9" x14ac:dyDescent="0.25">
      <c r="A119" s="57"/>
      <c r="F119" s="66"/>
      <c r="G119" s="66"/>
      <c r="H119" s="57"/>
      <c r="I119" s="57"/>
    </row>
    <row r="120" spans="1:9" x14ac:dyDescent="0.25">
      <c r="A120" s="57"/>
      <c r="F120" s="66"/>
      <c r="G120" s="66"/>
      <c r="H120" s="57"/>
      <c r="I120" s="57"/>
    </row>
    <row r="121" spans="1:9" x14ac:dyDescent="0.25">
      <c r="A121" s="57"/>
      <c r="F121" s="66"/>
      <c r="G121" s="66"/>
      <c r="H121" s="57"/>
      <c r="I121" s="57"/>
    </row>
    <row r="122" spans="1:9" x14ac:dyDescent="0.25">
      <c r="A122" s="57"/>
      <c r="F122" s="66"/>
      <c r="G122" s="66"/>
      <c r="H122" s="57"/>
      <c r="I122" s="57"/>
    </row>
    <row r="123" spans="1:9" x14ac:dyDescent="0.25">
      <c r="A123" s="57"/>
      <c r="F123" s="66"/>
      <c r="G123" s="66"/>
      <c r="H123" s="57"/>
      <c r="I123" s="57"/>
    </row>
    <row r="124" spans="1:9" x14ac:dyDescent="0.25">
      <c r="A124" s="57"/>
      <c r="F124" s="66"/>
      <c r="G124" s="66"/>
      <c r="H124" s="57"/>
      <c r="I124" s="57"/>
    </row>
    <row r="125" spans="1:9" x14ac:dyDescent="0.25">
      <c r="A125" s="57"/>
      <c r="F125" s="66"/>
      <c r="G125" s="66"/>
      <c r="H125" s="57"/>
      <c r="I125" s="57"/>
    </row>
    <row r="126" spans="1:9" x14ac:dyDescent="0.25">
      <c r="A126" s="57"/>
      <c r="F126" s="66"/>
      <c r="G126" s="66"/>
      <c r="H126" s="57"/>
      <c r="I126" s="57"/>
    </row>
    <row r="127" spans="1:9" x14ac:dyDescent="0.25">
      <c r="A127" s="57"/>
      <c r="F127" s="66"/>
      <c r="G127" s="66"/>
      <c r="H127" s="57"/>
      <c r="I127" s="57"/>
    </row>
    <row r="128" spans="1:9" x14ac:dyDescent="0.25">
      <c r="A128" s="57"/>
      <c r="F128" s="66"/>
      <c r="G128" s="66"/>
      <c r="H128" s="57"/>
      <c r="I128" s="57"/>
    </row>
    <row r="129" spans="1:9" x14ac:dyDescent="0.25">
      <c r="A129" s="57"/>
      <c r="F129" s="66"/>
      <c r="G129" s="66"/>
      <c r="H129" s="57"/>
      <c r="I129" s="57"/>
    </row>
    <row r="130" spans="1:9" x14ac:dyDescent="0.25">
      <c r="A130" s="57"/>
      <c r="F130" s="66"/>
      <c r="G130" s="66"/>
      <c r="H130" s="57"/>
      <c r="I130" s="57"/>
    </row>
    <row r="131" spans="1:9" x14ac:dyDescent="0.25">
      <c r="A131" s="57"/>
      <c r="F131" s="66"/>
      <c r="G131" s="66"/>
      <c r="H131" s="57"/>
      <c r="I131" s="57"/>
    </row>
    <row r="132" spans="1:9" x14ac:dyDescent="0.25">
      <c r="A132" s="57"/>
      <c r="F132" s="66"/>
      <c r="G132" s="66"/>
      <c r="H132" s="57"/>
      <c r="I132" s="57"/>
    </row>
    <row r="133" spans="1:9" x14ac:dyDescent="0.25">
      <c r="A133" s="57"/>
      <c r="F133" s="66"/>
      <c r="G133" s="66"/>
      <c r="H133" s="57"/>
      <c r="I133" s="57"/>
    </row>
    <row r="134" spans="1:9" x14ac:dyDescent="0.25">
      <c r="A134" s="57"/>
      <c r="F134" s="66"/>
      <c r="G134" s="66"/>
      <c r="H134" s="57"/>
      <c r="I134" s="57"/>
    </row>
    <row r="135" spans="1:9" x14ac:dyDescent="0.25">
      <c r="A135" s="57"/>
      <c r="F135" s="66"/>
      <c r="G135" s="66"/>
      <c r="H135" s="57"/>
      <c r="I135" s="57"/>
    </row>
    <row r="136" spans="1:9" x14ac:dyDescent="0.25">
      <c r="A136" s="57"/>
      <c r="F136" s="66"/>
      <c r="G136" s="66"/>
      <c r="H136" s="57"/>
      <c r="I136" s="57"/>
    </row>
    <row r="137" spans="1:9" x14ac:dyDescent="0.25">
      <c r="A137" s="57"/>
      <c r="F137" s="66"/>
      <c r="G137" s="66"/>
      <c r="H137" s="57"/>
      <c r="I137" s="57"/>
    </row>
    <row r="138" spans="1:9" x14ac:dyDescent="0.25">
      <c r="A138" s="57"/>
      <c r="F138" s="66"/>
      <c r="G138" s="66"/>
      <c r="H138" s="57"/>
      <c r="I138" s="57"/>
    </row>
    <row r="139" spans="1:9" x14ac:dyDescent="0.25">
      <c r="A139" s="57"/>
      <c r="F139" s="66"/>
      <c r="G139" s="66"/>
      <c r="H139" s="57"/>
      <c r="I139" s="57"/>
    </row>
    <row r="140" spans="1:9" x14ac:dyDescent="0.25">
      <c r="A140" s="57"/>
      <c r="F140" s="66"/>
      <c r="G140" s="66"/>
      <c r="H140" s="57"/>
      <c r="I140" s="57"/>
    </row>
    <row r="141" spans="1:9" x14ac:dyDescent="0.25">
      <c r="A141" s="57"/>
      <c r="F141" s="66"/>
      <c r="G141" s="66"/>
      <c r="H141" s="57"/>
      <c r="I141" s="57"/>
    </row>
    <row r="142" spans="1:9" x14ac:dyDescent="0.25">
      <c r="A142" s="57"/>
      <c r="F142" s="66"/>
      <c r="G142" s="66"/>
      <c r="H142" s="57"/>
      <c r="I142" s="57"/>
    </row>
    <row r="143" spans="1:9" x14ac:dyDescent="0.25">
      <c r="A143" s="57"/>
      <c r="F143" s="66"/>
      <c r="G143" s="66"/>
      <c r="H143" s="57"/>
      <c r="I143" s="57"/>
    </row>
    <row r="144" spans="1:9" x14ac:dyDescent="0.25">
      <c r="A144" s="57"/>
      <c r="F144" s="66"/>
      <c r="G144" s="66"/>
      <c r="H144" s="57"/>
      <c r="I144" s="57"/>
    </row>
    <row r="145" spans="1:9" x14ac:dyDescent="0.25">
      <c r="A145" s="57"/>
      <c r="F145" s="66"/>
      <c r="G145" s="66"/>
      <c r="H145" s="57"/>
      <c r="I145" s="57"/>
    </row>
    <row r="146" spans="1:9" x14ac:dyDescent="0.25">
      <c r="A146" s="57"/>
      <c r="F146" s="66"/>
      <c r="G146" s="66"/>
      <c r="H146" s="57"/>
      <c r="I146" s="57"/>
    </row>
    <row r="147" spans="1:9" x14ac:dyDescent="0.25">
      <c r="A147" s="57"/>
      <c r="F147" s="66"/>
      <c r="G147" s="66"/>
      <c r="H147" s="57"/>
      <c r="I147" s="57"/>
    </row>
    <row r="148" spans="1:9" x14ac:dyDescent="0.25">
      <c r="A148" s="57"/>
      <c r="F148" s="66"/>
      <c r="G148" s="66"/>
      <c r="H148" s="57"/>
      <c r="I148" s="57"/>
    </row>
    <row r="149" spans="1:9" x14ac:dyDescent="0.25">
      <c r="A149" s="57"/>
      <c r="F149" s="66"/>
      <c r="G149" s="66"/>
      <c r="H149" s="57"/>
      <c r="I149" s="57"/>
    </row>
    <row r="150" spans="1:9" x14ac:dyDescent="0.25">
      <c r="A150" s="57"/>
      <c r="F150" s="66"/>
      <c r="G150" s="66"/>
      <c r="H150" s="57"/>
      <c r="I150" s="57"/>
    </row>
    <row r="151" spans="1:9" x14ac:dyDescent="0.25">
      <c r="A151" s="57"/>
      <c r="F151" s="66"/>
      <c r="G151" s="66"/>
      <c r="H151" s="57"/>
      <c r="I151" s="57"/>
    </row>
    <row r="152" spans="1:9" x14ac:dyDescent="0.25">
      <c r="A152" s="57"/>
      <c r="F152" s="66"/>
      <c r="G152" s="66"/>
      <c r="H152" s="57"/>
      <c r="I152" s="57"/>
    </row>
    <row r="153" spans="1:9" x14ac:dyDescent="0.25">
      <c r="A153" s="57"/>
      <c r="F153" s="66"/>
      <c r="G153" s="66"/>
      <c r="H153" s="57"/>
      <c r="I153" s="57"/>
    </row>
    <row r="154" spans="1:9" x14ac:dyDescent="0.25">
      <c r="A154" s="57"/>
      <c r="F154" s="66"/>
      <c r="G154" s="66"/>
      <c r="H154" s="57"/>
      <c r="I154" s="57"/>
    </row>
    <row r="155" spans="1:9" x14ac:dyDescent="0.25">
      <c r="A155" s="57"/>
      <c r="F155" s="66"/>
      <c r="G155" s="66"/>
      <c r="H155" s="57"/>
      <c r="I155" s="57"/>
    </row>
  </sheetData>
  <sheetProtection password="C0DF" sheet="1" objects="1" scenarios="1" selectLockedCells="1"/>
  <protectedRanges>
    <protectedRange sqref="D5:G5 C7:D7 F7:G7 E9 D14:E14 F14:G14 B16:D16 C21 D21 D22 C22 F25 C27 C28 C29 C30 C31 C32 C33 C34 D36 D37 I7 I8 I9 I11 I14 I19 I20 N32 N31 N30 N29 N28 N27 N26 N25 K21" name="Range1"/>
  </protectedRanges>
  <mergeCells count="15">
    <mergeCell ref="F14:G14"/>
    <mergeCell ref="F7:G7"/>
    <mergeCell ref="B13:C13"/>
    <mergeCell ref="C23:E23"/>
    <mergeCell ref="B16:D16"/>
    <mergeCell ref="B14:C14"/>
    <mergeCell ref="D14:E14"/>
    <mergeCell ref="C7:D7"/>
    <mergeCell ref="I2:K2"/>
    <mergeCell ref="F13:G13"/>
    <mergeCell ref="F11:G11"/>
    <mergeCell ref="F12:G12"/>
    <mergeCell ref="B1:D2"/>
    <mergeCell ref="B5:C5"/>
    <mergeCell ref="D5:G5"/>
  </mergeCells>
  <phoneticPr fontId="0" type="noConversion"/>
  <dataValidations xWindow="570" yWindow="509" count="7">
    <dataValidation type="list" allowBlank="1" showInputMessage="1" showErrorMessage="1" sqref="E9">
      <formula1>CATEGORY</formula1>
    </dataValidation>
    <dataValidation type="list" allowBlank="1" showInputMessage="1" showErrorMessage="1" sqref="F25">
      <formula1>Type</formula1>
    </dataValidation>
    <dataValidation type="list" allowBlank="1" showInputMessage="1" showErrorMessage="1" sqref="D36:D37">
      <formula1>Previous</formula1>
    </dataValidation>
    <dataValidation type="list" allowBlank="1" showInputMessage="1" showErrorMessage="1" sqref="B16:D16">
      <formula1>Application</formula1>
    </dataValidation>
    <dataValidation type="list" allowBlank="1" showInputMessage="1" showErrorMessage="1" sqref="C7:D7">
      <formula1>County</formula1>
    </dataValidation>
    <dataValidation type="list" allowBlank="1" showInputMessage="1" showErrorMessage="1" sqref="L7:L12">
      <formula1>Crop</formula1>
    </dataValidation>
    <dataValidation type="list" allowBlank="1" showInputMessage="1" showErrorMessage="1" sqref="F7:G7">
      <formula1>Field</formula1>
    </dataValidation>
  </dataValidations>
  <pageMargins left="0.67" right="0.54" top="0.6" bottom="0.73" header="0.54" footer="0.5"/>
  <pageSetup scale="68" orientation="landscape" horizontalDpi="300" verticalDpi="300" r:id="rId1"/>
  <headerFooter alignWithMargins="0">
    <oddFooter>&amp;L&amp;8File: &amp;F    Tab: &amp;A&amp;R&amp;8NUP version 3.5 revised April, 2010;    Page &amp;P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48"/>
    <pageSetUpPr autoPageBreaks="0" fitToPage="1"/>
  </sheetPr>
  <dimension ref="A2:Z55"/>
  <sheetViews>
    <sheetView showOutlineSymbols="0" zoomScale="87" zoomScaleNormal="87" workbookViewId="0"/>
  </sheetViews>
  <sheetFormatPr defaultColWidth="9.6328125" defaultRowHeight="14.1" customHeight="1" x14ac:dyDescent="0.25"/>
  <cols>
    <col min="1" max="1" width="3.81640625" style="61" customWidth="1"/>
    <col min="2" max="2" width="6.90625" style="57" customWidth="1"/>
    <col min="3" max="3" width="15.81640625" style="57" customWidth="1"/>
    <col min="4" max="4" width="9.6328125" style="57" customWidth="1"/>
    <col min="5" max="6" width="10.6328125" style="57" customWidth="1"/>
    <col min="7" max="9" width="9.6328125" style="57" customWidth="1"/>
    <col min="10" max="10" width="12.81640625" style="57" customWidth="1"/>
    <col min="11" max="12" width="11.6328125" style="57" customWidth="1"/>
    <col min="13" max="13" width="9.6328125" style="57" customWidth="1"/>
    <col min="14" max="26" width="9.6328125" style="57" hidden="1" customWidth="1"/>
    <col min="27" max="16384" width="9.6328125" style="57"/>
  </cols>
  <sheetData>
    <row r="2" spans="2:23" ht="20.100000000000001" customHeight="1" x14ac:dyDescent="0.3">
      <c r="B2" s="151"/>
      <c r="E2" s="152" t="s">
        <v>528</v>
      </c>
    </row>
    <row r="4" spans="2:23" ht="20.100000000000001" customHeight="1" x14ac:dyDescent="0.25">
      <c r="B4" s="57" t="s">
        <v>96</v>
      </c>
      <c r="D4" s="63">
        <f>Input!D5</f>
        <v>0</v>
      </c>
      <c r="E4" s="63"/>
      <c r="F4" s="63"/>
      <c r="G4" s="63"/>
      <c r="H4" s="63"/>
      <c r="J4" s="57" t="s">
        <v>533</v>
      </c>
    </row>
    <row r="5" spans="2:23" ht="20.100000000000001" customHeight="1" x14ac:dyDescent="0.25">
      <c r="B5" s="57" t="s">
        <v>95</v>
      </c>
      <c r="C5" s="63">
        <f>Input!C7</f>
        <v>0</v>
      </c>
      <c r="D5" s="63"/>
      <c r="J5" s="57" t="s">
        <v>97</v>
      </c>
      <c r="L5" s="296">
        <f>Input!F14</f>
        <v>0</v>
      </c>
    </row>
    <row r="6" spans="2:23" ht="14.1" customHeight="1" thickBot="1" x14ac:dyDescent="0.3"/>
    <row r="7" spans="2:23" ht="14.1" customHeight="1" x14ac:dyDescent="0.25">
      <c r="B7" s="153"/>
      <c r="C7" s="154"/>
      <c r="D7" s="154"/>
      <c r="E7" s="154"/>
      <c r="F7" s="154"/>
      <c r="G7" s="154"/>
      <c r="H7" s="154"/>
      <c r="I7" s="154"/>
      <c r="J7" s="154"/>
      <c r="K7" s="154"/>
      <c r="L7" s="155"/>
    </row>
    <row r="8" spans="2:23" ht="14.1" customHeight="1" x14ac:dyDescent="0.25">
      <c r="B8" s="592" t="s">
        <v>98</v>
      </c>
      <c r="C8" s="591"/>
      <c r="F8" s="158" t="s">
        <v>58</v>
      </c>
      <c r="G8" s="594">
        <f>Input!F7</f>
        <v>0</v>
      </c>
      <c r="H8" s="594"/>
      <c r="I8" s="63"/>
      <c r="J8" s="158" t="s">
        <v>215</v>
      </c>
      <c r="K8" s="157">
        <f>Input!G9</f>
        <v>0</v>
      </c>
      <c r="L8" s="159"/>
    </row>
    <row r="9" spans="2:23" ht="14.1" customHeight="1" x14ac:dyDescent="0.25">
      <c r="B9" s="156"/>
      <c r="C9" s="7" t="s">
        <v>99</v>
      </c>
      <c r="D9" s="63"/>
      <c r="F9" s="158"/>
      <c r="G9" s="63"/>
      <c r="H9" s="63"/>
      <c r="I9" s="63"/>
      <c r="J9" s="63"/>
      <c r="K9" s="63"/>
      <c r="L9" s="159"/>
    </row>
    <row r="10" spans="2:23" ht="14.1" customHeight="1" x14ac:dyDescent="0.25">
      <c r="B10" s="592" t="s">
        <v>100</v>
      </c>
      <c r="C10" s="591"/>
      <c r="D10" s="593">
        <f>Input!D14</f>
        <v>0</v>
      </c>
      <c r="E10" s="593"/>
      <c r="F10" s="158" t="s">
        <v>101</v>
      </c>
      <c r="G10" s="157">
        <f>Input!E9</f>
        <v>0</v>
      </c>
      <c r="H10" s="591" t="s">
        <v>216</v>
      </c>
      <c r="I10" s="591"/>
      <c r="J10" s="591"/>
      <c r="K10" s="157" t="str">
        <f>Input!D11</f>
        <v xml:space="preserve">     Enter category in C9!</v>
      </c>
      <c r="L10" s="159"/>
    </row>
    <row r="11" spans="2:23" ht="14.1" customHeight="1" thickBot="1" x14ac:dyDescent="0.3">
      <c r="B11" s="156"/>
      <c r="C11" s="63"/>
      <c r="D11" s="63"/>
      <c r="E11" s="63"/>
      <c r="F11" s="63"/>
      <c r="G11" s="63"/>
      <c r="H11" s="63"/>
      <c r="I11" s="63"/>
      <c r="J11" s="63"/>
      <c r="K11" s="63"/>
      <c r="L11" s="159"/>
    </row>
    <row r="12" spans="2:23" s="160" customFormat="1" ht="20.100000000000001" customHeight="1" thickBot="1" x14ac:dyDescent="0.3">
      <c r="B12" s="161" t="s">
        <v>102</v>
      </c>
      <c r="C12" s="162" t="s">
        <v>285</v>
      </c>
      <c r="D12" s="163" t="s">
        <v>103</v>
      </c>
      <c r="E12" s="162" t="s">
        <v>104</v>
      </c>
      <c r="F12" s="163" t="s">
        <v>105</v>
      </c>
      <c r="G12" s="162" t="s">
        <v>106</v>
      </c>
      <c r="H12" s="163" t="s">
        <v>107</v>
      </c>
      <c r="I12" s="162" t="s">
        <v>108</v>
      </c>
      <c r="J12" s="163" t="s">
        <v>109</v>
      </c>
      <c r="K12" s="162" t="s">
        <v>110</v>
      </c>
      <c r="L12" s="164" t="s">
        <v>111</v>
      </c>
      <c r="O12" s="165" t="s">
        <v>112</v>
      </c>
      <c r="P12" s="15"/>
      <c r="Q12" s="15"/>
      <c r="R12" s="15"/>
      <c r="S12" s="15"/>
      <c r="T12" s="15" t="s">
        <v>112</v>
      </c>
      <c r="U12" s="15" t="s">
        <v>112</v>
      </c>
      <c r="V12" s="15" t="s">
        <v>112</v>
      </c>
      <c r="W12" s="166" t="s">
        <v>108</v>
      </c>
    </row>
    <row r="13" spans="2:23" ht="17.100000000000001" customHeight="1" x14ac:dyDescent="0.25">
      <c r="B13" s="167" t="s">
        <v>113</v>
      </c>
      <c r="C13" s="168" t="s">
        <v>114</v>
      </c>
      <c r="D13" s="169" t="s">
        <v>115</v>
      </c>
      <c r="E13" s="170" t="s">
        <v>116</v>
      </c>
      <c r="F13" s="169" t="s">
        <v>116</v>
      </c>
      <c r="G13" s="171" t="s">
        <v>117</v>
      </c>
      <c r="H13" s="172" t="s">
        <v>118</v>
      </c>
      <c r="I13" s="171" t="s">
        <v>119</v>
      </c>
      <c r="J13" s="172" t="s">
        <v>542</v>
      </c>
      <c r="K13" s="171" t="s">
        <v>120</v>
      </c>
      <c r="L13" s="173" t="s">
        <v>121</v>
      </c>
      <c r="O13" s="174" t="s">
        <v>122</v>
      </c>
      <c r="P13" s="175" t="s">
        <v>123</v>
      </c>
      <c r="Q13" s="176" t="s">
        <v>124</v>
      </c>
      <c r="R13" s="175" t="s">
        <v>125</v>
      </c>
      <c r="S13" s="176" t="s">
        <v>126</v>
      </c>
      <c r="T13" s="175" t="s">
        <v>54</v>
      </c>
      <c r="U13" s="176" t="s">
        <v>127</v>
      </c>
      <c r="V13" s="175" t="s">
        <v>127</v>
      </c>
      <c r="W13" s="177" t="s">
        <v>119</v>
      </c>
    </row>
    <row r="14" spans="2:23" ht="17.100000000000001" customHeight="1" x14ac:dyDescent="0.25">
      <c r="B14" s="76"/>
      <c r="C14" s="105"/>
      <c r="D14" s="178" t="s">
        <v>128</v>
      </c>
      <c r="E14" s="179" t="s">
        <v>129</v>
      </c>
      <c r="F14" s="178" t="s">
        <v>90</v>
      </c>
      <c r="G14" s="180" t="s">
        <v>130</v>
      </c>
      <c r="H14" s="181" t="s">
        <v>131</v>
      </c>
      <c r="I14" s="180" t="s">
        <v>132</v>
      </c>
      <c r="J14" s="181" t="s">
        <v>133</v>
      </c>
      <c r="K14" s="180" t="s">
        <v>134</v>
      </c>
      <c r="L14" s="182" t="s">
        <v>532</v>
      </c>
      <c r="O14" s="183" t="s">
        <v>135</v>
      </c>
      <c r="P14" s="8"/>
      <c r="Q14" s="7"/>
      <c r="R14" s="8"/>
      <c r="S14" s="7"/>
      <c r="T14" s="8" t="s">
        <v>136</v>
      </c>
      <c r="U14" s="7" t="s">
        <v>137</v>
      </c>
      <c r="V14" s="8" t="s">
        <v>137</v>
      </c>
      <c r="W14" s="184" t="s">
        <v>132</v>
      </c>
    </row>
    <row r="15" spans="2:23" ht="17.100000000000001" customHeight="1" x14ac:dyDescent="0.25">
      <c r="B15" s="76"/>
      <c r="C15" s="105"/>
      <c r="D15" s="178" t="s">
        <v>138</v>
      </c>
      <c r="E15" s="179" t="s">
        <v>139</v>
      </c>
      <c r="F15" s="178" t="s">
        <v>140</v>
      </c>
      <c r="G15" s="180" t="s">
        <v>74</v>
      </c>
      <c r="H15" s="181" t="s">
        <v>141</v>
      </c>
      <c r="I15" s="180" t="s">
        <v>133</v>
      </c>
      <c r="J15" s="181" t="s">
        <v>142</v>
      </c>
      <c r="K15" s="180" t="s">
        <v>143</v>
      </c>
      <c r="L15" s="182" t="s">
        <v>144</v>
      </c>
      <c r="O15" s="183" t="s">
        <v>145</v>
      </c>
      <c r="P15" s="8"/>
      <c r="Q15" s="7"/>
      <c r="R15" s="8"/>
      <c r="S15" s="7"/>
      <c r="T15" s="8" t="s">
        <v>146</v>
      </c>
      <c r="U15" s="7" t="s">
        <v>147</v>
      </c>
      <c r="V15" s="8" t="s">
        <v>147</v>
      </c>
      <c r="W15" s="184" t="s">
        <v>133</v>
      </c>
    </row>
    <row r="16" spans="2:23" ht="17.100000000000001" customHeight="1" x14ac:dyDescent="0.25">
      <c r="B16" s="76"/>
      <c r="C16" s="105"/>
      <c r="D16" s="178"/>
      <c r="E16" s="179"/>
      <c r="F16" s="178" t="s">
        <v>139</v>
      </c>
      <c r="G16" s="180" t="s">
        <v>76</v>
      </c>
      <c r="H16" s="181" t="s">
        <v>142</v>
      </c>
      <c r="I16" s="180" t="s">
        <v>139</v>
      </c>
      <c r="J16" s="181" t="s">
        <v>148</v>
      </c>
      <c r="K16" s="180" t="s">
        <v>149</v>
      </c>
      <c r="L16" s="182" t="s">
        <v>150</v>
      </c>
      <c r="O16" s="183"/>
      <c r="P16" s="8"/>
      <c r="Q16" s="7"/>
      <c r="R16" s="8"/>
      <c r="S16" s="7"/>
      <c r="T16" s="8" t="s">
        <v>151</v>
      </c>
      <c r="U16" s="7" t="s">
        <v>152</v>
      </c>
      <c r="V16" s="8" t="s">
        <v>152</v>
      </c>
      <c r="W16" s="184" t="s">
        <v>139</v>
      </c>
    </row>
    <row r="17" spans="1:25" ht="17.100000000000001" customHeight="1" thickBot="1" x14ac:dyDescent="0.3">
      <c r="B17" s="185"/>
      <c r="C17" s="112"/>
      <c r="D17" s="186"/>
      <c r="E17" s="187"/>
      <c r="F17" s="186"/>
      <c r="G17" s="188" t="s">
        <v>78</v>
      </c>
      <c r="H17" s="129"/>
      <c r="I17" s="188"/>
      <c r="J17" s="129" t="s">
        <v>153</v>
      </c>
      <c r="K17" s="188"/>
      <c r="L17" s="189" t="s">
        <v>154</v>
      </c>
      <c r="O17" s="190"/>
      <c r="P17" s="191"/>
      <c r="Q17" s="192"/>
      <c r="R17" s="191"/>
      <c r="S17" s="192"/>
      <c r="T17" s="191" t="s">
        <v>155</v>
      </c>
      <c r="U17" s="192"/>
      <c r="V17" s="191"/>
      <c r="W17" s="193"/>
    </row>
    <row r="18" spans="1:25" ht="14.1" customHeight="1" x14ac:dyDescent="0.25">
      <c r="B18" s="183"/>
      <c r="C18" s="8"/>
      <c r="D18" s="7"/>
      <c r="E18" s="8"/>
      <c r="F18" s="7"/>
      <c r="G18" s="9" t="s">
        <v>156</v>
      </c>
      <c r="H18" s="10" t="s">
        <v>157</v>
      </c>
      <c r="I18" s="9" t="s">
        <v>158</v>
      </c>
      <c r="J18" s="10" t="s">
        <v>159</v>
      </c>
      <c r="K18" s="9" t="s">
        <v>160</v>
      </c>
      <c r="L18" s="11" t="s">
        <v>159</v>
      </c>
      <c r="O18" s="183"/>
      <c r="P18" s="8"/>
      <c r="Q18" s="7"/>
      <c r="R18" s="8"/>
      <c r="S18" s="7"/>
      <c r="T18" s="8"/>
      <c r="U18" s="7"/>
      <c r="V18" s="8"/>
      <c r="W18" s="184" t="s">
        <v>158</v>
      </c>
      <c r="Y18" s="7" t="s">
        <v>274</v>
      </c>
    </row>
    <row r="19" spans="1:25" ht="14.1" customHeight="1" x14ac:dyDescent="0.25">
      <c r="B19" s="183"/>
      <c r="C19" s="8"/>
      <c r="D19" s="7"/>
      <c r="E19" s="8"/>
      <c r="F19" s="7"/>
      <c r="G19" s="9" t="s">
        <v>161</v>
      </c>
      <c r="H19" s="10" t="s">
        <v>162</v>
      </c>
      <c r="I19" s="9" t="s">
        <v>163</v>
      </c>
      <c r="J19" s="10" t="s">
        <v>164</v>
      </c>
      <c r="K19" s="9" t="s">
        <v>165</v>
      </c>
      <c r="L19" s="11" t="s">
        <v>166</v>
      </c>
      <c r="O19" s="183"/>
      <c r="P19" s="8"/>
      <c r="Q19" s="7"/>
      <c r="R19" s="8"/>
      <c r="S19" s="7"/>
      <c r="T19" s="8"/>
      <c r="U19" s="7"/>
      <c r="V19" s="8"/>
      <c r="W19" s="184" t="s">
        <v>163</v>
      </c>
      <c r="Y19" s="7" t="s">
        <v>275</v>
      </c>
    </row>
    <row r="20" spans="1:25" ht="14.1" customHeight="1" thickBot="1" x14ac:dyDescent="0.3">
      <c r="B20" s="5">
        <f>IF(Input!K7&gt;0,Input!K7,"")</f>
        <v>2000</v>
      </c>
      <c r="C20" s="6" t="e">
        <f>IF(Input!M7=0,"",IF(MATCH(Input!L7,Removal!B$5:B$41,0)&lt;&gt;0,Input!L7,"#N/A"))</f>
        <v>#N/A</v>
      </c>
      <c r="D20" s="7"/>
      <c r="E20" s="8"/>
      <c r="F20" s="7"/>
      <c r="G20" s="9" t="s">
        <v>167</v>
      </c>
      <c r="H20" s="10"/>
      <c r="I20" s="9"/>
      <c r="J20" s="10" t="s">
        <v>168</v>
      </c>
      <c r="K20" s="9" t="s">
        <v>169</v>
      </c>
      <c r="L20" s="11" t="s">
        <v>170</v>
      </c>
      <c r="O20" s="190"/>
      <c r="P20" s="191"/>
      <c r="Q20" s="192"/>
      <c r="R20" s="191"/>
      <c r="S20" s="192"/>
      <c r="T20" s="191"/>
      <c r="U20" s="192"/>
      <c r="V20" s="191"/>
      <c r="W20" s="193"/>
      <c r="Y20" s="7" t="s">
        <v>276</v>
      </c>
    </row>
    <row r="21" spans="1:25" s="194" customFormat="1" ht="24" customHeight="1" x14ac:dyDescent="0.25">
      <c r="A21" s="61"/>
      <c r="B21" s="12">
        <f>IF(Input!K8&gt;0,Input!K8,"")</f>
        <v>2001</v>
      </c>
      <c r="C21" s="13" t="str">
        <f>IF(Input!M8=0,"",IF(MATCH(Input!L8,Removal!B$5:B$41,0)&lt;&gt;0,Input!L8,"#N/A"))</f>
        <v/>
      </c>
      <c r="D21" s="14">
        <f>IF(Input!K8&gt;0,Input!M8,"")</f>
        <v>0</v>
      </c>
      <c r="E21" s="218">
        <f>IF(D21=0,0,VLOOKUP(C21,Removal!$B$4:$J$41,4)*D21)</f>
        <v>0</v>
      </c>
      <c r="F21" s="218">
        <f>IF(D21=0,0,VLOOKUP(C21,Removal!$B$4:$J$41,5)*D21)</f>
        <v>0</v>
      </c>
      <c r="G21" s="16">
        <f>Input!N18</f>
        <v>0</v>
      </c>
      <c r="H21" s="15">
        <f>IF(D21=0,0,IF(OR(Input!T$18=1,Input!T$18=2),VLOOKUP(Y21,Bray,($G$10+1)+1),IF(Input!T$18=3,VLOOKUP(Y21,Olsen,($G$10+1)+1),0)))</f>
        <v>0</v>
      </c>
      <c r="I21" s="17">
        <f>IF(D21=0,0,IF(U21="N",S21,IF(U21="P",F21*V21,1/0)))</f>
        <v>0</v>
      </c>
      <c r="J21" s="18">
        <f>IF(D21=0,0,I21/VLOOKUP(Input!R24,[0]!MANURE,(IF(U21="N",3,IF(U21="P",4,0)))+1)*Input!N8)</f>
        <v>0</v>
      </c>
      <c r="K21" s="19">
        <f>IF(D21=0,0,J21*VLOOKUP(Input!R24,[0]!MANURE,5))-F21</f>
        <v>0</v>
      </c>
      <c r="L21" s="20">
        <f>IF(D21=0,0,J21*K$8)</f>
        <v>0</v>
      </c>
      <c r="O21" s="46">
        <f>IF(D21=0,0,VLOOKUP(C21,Removal!$B$4:$J$41,6)*D21*Input!V$18)</f>
        <v>0</v>
      </c>
      <c r="P21" s="47">
        <f>IF(D21=0,0,VLOOKUP(Input!L7,[0]!REMOVAL,8))</f>
        <v>0</v>
      </c>
      <c r="Q21" s="219">
        <f>IF(Input!D36="Yes",Input!F21,0)+IF(Input!D37="Yes",Input!F22,0)</f>
        <v>0</v>
      </c>
      <c r="R21" s="47">
        <f>Input!M18*0.3*6+Input!M19*0.3*6+Input!M20*0.3*6+Input!M21*0.3*6</f>
        <v>0</v>
      </c>
      <c r="S21" s="219">
        <f>IF((O21-P21-Q21-R21)&lt;0,0,(O21-P21-Q21-R21))</f>
        <v>0</v>
      </c>
      <c r="T21" s="47">
        <f>IF(D21=0,0,VLOOKUP(C21,[0]!REMOVAL,7))</f>
        <v>0</v>
      </c>
      <c r="U21" s="48">
        <f>IF(OR(Input!T$18=1,Input!T$18=2),VLOOKUP(Y21,[0]!Bray,($G$10+4)+1),IF(Input!T$18=3,VLOOKUP(Y21,[0]!Olsen,($G$10+4)+1),0))</f>
        <v>0</v>
      </c>
      <c r="V21" s="47">
        <f>IF(OR(Input!T$18=1,Input!T$18=2),VLOOKUP(Y21,[0]!Bray,($G$10+7)+1),IF(Input!T$18=3,VLOOKUP(Y21,[0]!Olsen,($G$10+7)+1),0))</f>
        <v>0</v>
      </c>
      <c r="W21" s="49">
        <f>IF(U21="P",F21*V21,0)</f>
        <v>0</v>
      </c>
      <c r="Y21" s="54" t="b">
        <f>IF(T21="AL",G21+1000,IF(T21="PL",G21+2000,IF(T21="Other",G21+3000)))</f>
        <v>0</v>
      </c>
    </row>
    <row r="22" spans="1:25" s="194" customFormat="1" ht="24" customHeight="1" x14ac:dyDescent="0.25">
      <c r="A22" s="61"/>
      <c r="B22" s="21">
        <f>IF(Input!K9&gt;0,Input!K9,"")</f>
        <v>2002</v>
      </c>
      <c r="C22" s="22" t="str">
        <f>IF(Input!M9=0,"",IF(MATCH(Input!L9,Removal!B$5:B$41,0)&lt;&gt;0,Input!L9,"#N/A"))</f>
        <v/>
      </c>
      <c r="D22" s="23">
        <f>IF(Input!K9&gt;0,Input!M9,"")</f>
        <v>0</v>
      </c>
      <c r="E22" s="216">
        <f>IF(D22=0,0,VLOOKUP(C22,Removal!$B$4:$J$41,4)*D22)</f>
        <v>0</v>
      </c>
      <c r="F22" s="216">
        <f>IF(D22=0,0,VLOOKUP(C22,Removal!$B$4:$J$41,5)*D22)</f>
        <v>0</v>
      </c>
      <c r="G22" s="25" t="e">
        <f>IF((K21/IF(OR(Input!T18=1,Input!T18=2),11.5,IF(Input!T18=3,30,1/0))+G21)&lt;0,0,K21/IF(OR(Input!T18=1,Input!T18=2),11.5,IF(Input!T18=3,30,1/0))+G21)</f>
        <v>#DIV/0!</v>
      </c>
      <c r="H22" s="24">
        <f>IF(D22=0,0,IF(OR(Input!T$18=1,Input!T$18=2),VLOOKUP(Y22,Bray,($G$10+1)+1),IF(Input!T$18=3,VLOOKUP(Y22,Olsen,($G$10+1)+1),0)))</f>
        <v>0</v>
      </c>
      <c r="I22" s="26">
        <f>IF(D22=0,0,IF(U22="N",'Nitrogen Rates'!G7,IF(U22="P",F22*V22,1/0)))</f>
        <v>0</v>
      </c>
      <c r="J22" s="27">
        <f>IF(D22=0,0,I22/VLOOKUP(Input!R24,[0]!MANURE,(IF(U22="N",3,IF(U22="P",4,0)))+1)*Input!N9)</f>
        <v>0</v>
      </c>
      <c r="K22" s="28">
        <f>IF(D22=0,0,J22*VLOOKUP(Input!R24,[0]!MANURE,5))-F22</f>
        <v>0</v>
      </c>
      <c r="L22" s="29">
        <f>IF(D22=0,0,J22*K$8)</f>
        <v>0</v>
      </c>
      <c r="O22" s="46">
        <f>IF(D22=0,0,VLOOKUP(C22,Removal!$B$4:$J$41,6)*D22*Input!V$18)</f>
        <v>0</v>
      </c>
      <c r="P22" s="24">
        <f>IF(D22=0,0,VLOOKUP(Input!L8,[0]!REMOVAL,8))</f>
        <v>0</v>
      </c>
      <c r="Q22" s="220">
        <f>IF(J21&gt;0,Input!F21,0)+IF(Input!D36="Yes",Input!F22,0)</f>
        <v>0</v>
      </c>
      <c r="R22" s="24">
        <f>Input!M18*0.3*6+Input!M19*0.3*6+Input!M20*0.3*6+Input!M21*0.3*6</f>
        <v>0</v>
      </c>
      <c r="S22" s="220">
        <f>IF((O22-P22-Q22-R22)&lt;0,0,(O22-P22-Q22-R22))</f>
        <v>0</v>
      </c>
      <c r="T22" s="24">
        <f>IF(D22=0,0,VLOOKUP(C22,[0]!REMOVAL,7))</f>
        <v>0</v>
      </c>
      <c r="U22" s="48">
        <f>IF(OR(Input!T$18=1,Input!T$18=2),VLOOKUP(Y22,[0]!Bray,($G$10+4)+1),IF(Input!T$18=3,VLOOKUP(Y22,[0]!Olsen,($G$10+4)+1),0))</f>
        <v>0</v>
      </c>
      <c r="V22" s="47">
        <f>IF(OR(Input!T$18=1,Input!T$18=2),VLOOKUP(Y22,[0]!Bray,($G$10+7)+1),IF(Input!T$18=3,VLOOKUP(Y22,[0]!Olsen,($G$10+7)+1),0))</f>
        <v>0</v>
      </c>
      <c r="W22" s="50">
        <f>IF(U22="P",F22*V22,0)</f>
        <v>0</v>
      </c>
      <c r="Y22" s="54" t="b">
        <f>IF(T22="AL",G22+1000,IF(T22="PL",G22+2000,IF(T22="Other",G22+3000)))</f>
        <v>0</v>
      </c>
    </row>
    <row r="23" spans="1:25" s="194" customFormat="1" ht="24" customHeight="1" x14ac:dyDescent="0.25">
      <c r="A23" s="61"/>
      <c r="B23" s="30">
        <f>IF(Input!K10&gt;0,Input!K10,"")</f>
        <v>2003</v>
      </c>
      <c r="C23" s="22" t="str">
        <f>IF(Input!M10=0,"",IF(MATCH(Input!L10,Removal!B$5:B$41,0)&lt;&gt;0,Input!L10,"#N/A"))</f>
        <v/>
      </c>
      <c r="D23" s="31">
        <f>IF(Input!K10&gt;0,Input!M10,"")</f>
        <v>0</v>
      </c>
      <c r="E23" s="216">
        <f>IF(D23=0,0,VLOOKUP(C23,Removal!$B$4:$J$41,4)*D23)</f>
        <v>0</v>
      </c>
      <c r="F23" s="216">
        <f>IF(D23=0,0,VLOOKUP(C23,Removal!$B$4:$J$41,5)*D23)</f>
        <v>0</v>
      </c>
      <c r="G23" s="32" t="e">
        <f>IF((K22/IF(OR(Input!T18=1,Input!T18=2),11.5,IF(Input!T18=3,30,1/0))+G22)&lt;0,0,K22/IF(OR(Input!T18=1,Input!T18=2),11.5,IF(Input!T18=3,30,1/0))+G22)</f>
        <v>#DIV/0!</v>
      </c>
      <c r="H23" s="24">
        <f>IF(D23=0,0,IF(OR(Input!T$18=1,Input!T$18=2),VLOOKUP(Y23,Bray,($G$10+1)+1),IF(Input!T$18=3,VLOOKUP(Y23,Olsen,($G$10+1)+1),0)))</f>
        <v>0</v>
      </c>
      <c r="I23" s="33">
        <f>IF(D23=0,0,IF(U23="N",'Nitrogen Rates'!G8,IF(U23="P",F23*V23,1/0)))</f>
        <v>0</v>
      </c>
      <c r="J23" s="34">
        <f>IF(D23=0,0,I23/VLOOKUP(Input!R24,[0]!MANURE,(IF(U23="N",3,IF(U23="P",4,0)))+1)*Input!N10)</f>
        <v>0</v>
      </c>
      <c r="K23" s="35">
        <f>IF(D23=0,0,J23*VLOOKUP(Input!R24,[0]!MANURE,5))-F23</f>
        <v>0</v>
      </c>
      <c r="L23" s="36">
        <f>IF(D23=0,0,J23*K$8)</f>
        <v>0</v>
      </c>
      <c r="O23" s="46">
        <f>IF(D23=0,0,VLOOKUP(C23,Removal!$B$4:$J$41,6)*D23*Input!V$18)</f>
        <v>0</v>
      </c>
      <c r="P23" s="24">
        <f>IF(D23=0,0,VLOOKUP(Input!L9,[0]!REMOVAL,8))</f>
        <v>0</v>
      </c>
      <c r="Q23" s="220">
        <f>IF(J22&gt;0,Input!F21,0)+IF(J21&gt;0,Input!F22,0)</f>
        <v>0</v>
      </c>
      <c r="R23" s="24">
        <f>Input!M18*0.3*6+Input!M19*0.3*6+Input!M20*0.3*6+Input!M21*0.3*6</f>
        <v>0</v>
      </c>
      <c r="S23" s="220">
        <f>IF((O23-P23-Q23-R23)&lt;0,0,(O23-P23-Q23-R23))</f>
        <v>0</v>
      </c>
      <c r="T23" s="24">
        <f>IF(D23=0,0,VLOOKUP(C23,[0]!REMOVAL,7))</f>
        <v>0</v>
      </c>
      <c r="U23" s="48">
        <f>IF(OR(Input!T$18=1,Input!T$18=2),VLOOKUP(Y23,[0]!Bray,($G$10+4)+1),IF(Input!T$18=3,VLOOKUP(Y23,[0]!Olsen,($G$10+4)+1),0))</f>
        <v>0</v>
      </c>
      <c r="V23" s="47">
        <f>IF(OR(Input!T$18=1,Input!T$18=2),VLOOKUP(Y23,[0]!Bray,($G$10+7)+1),IF(Input!T$18=3,VLOOKUP(Y23,[0]!Olsen,($G$10+7)+1),0))</f>
        <v>0</v>
      </c>
      <c r="W23" s="51">
        <f>IF(U23="P",F23*V23,0)</f>
        <v>0</v>
      </c>
      <c r="Y23" s="54" t="b">
        <f>IF(T23="AL",G23+1000,IF(T23="PL",G23+2000,IF(T23="Other",G23+3000)))</f>
        <v>0</v>
      </c>
    </row>
    <row r="24" spans="1:25" s="194" customFormat="1" ht="24" customHeight="1" x14ac:dyDescent="0.25">
      <c r="A24" s="61"/>
      <c r="B24" s="21">
        <f>IF(Input!K11&gt;0,Input!K11,"")</f>
        <v>2004</v>
      </c>
      <c r="C24" s="22" t="str">
        <f>IF(Input!M11=0,"",IF(MATCH(Input!L11,Removal!B$5:B$41,0)&lt;&gt;0,Input!L11,"#N/A"))</f>
        <v/>
      </c>
      <c r="D24" s="23">
        <f>IF(Input!K11&gt;0,Input!M11,"")</f>
        <v>0</v>
      </c>
      <c r="E24" s="216">
        <f>IF(D24=0,0,VLOOKUP(C24,Removal!$B$4:$J$41,4)*D24)</f>
        <v>0</v>
      </c>
      <c r="F24" s="216">
        <f>IF(D24=0,0,VLOOKUP(C24,Removal!$B$4:$J$41,5)*D24)</f>
        <v>0</v>
      </c>
      <c r="G24" s="25" t="e">
        <f>IF((K23/IF(OR(Input!T18=1,Input!T18=2),11.5,IF(Input!T18=3,30,1/0))+G23)&lt;0,0,K23/IF(OR(Input!T18=1,Input!T18=2),11.5,IF(Input!T18=3,30,1/0))+G23)</f>
        <v>#DIV/0!</v>
      </c>
      <c r="H24" s="24">
        <f>IF(D24=0,0,IF(OR(Input!T$18=1,Input!T$18=2),VLOOKUP(Y24,Bray,($G$10+1)+1),IF(Input!T$18=3,VLOOKUP(Y24,Olsen,($G$10+1)+1),0)))</f>
        <v>0</v>
      </c>
      <c r="I24" s="26">
        <f>IF(D24=0,0,IF(U24="N",'Nitrogen Rates'!G9,IF(U24="P",F24*V24,1/0)))</f>
        <v>0</v>
      </c>
      <c r="J24" s="27">
        <f>IF(D24=0,0,I24/VLOOKUP(Input!R24,[0]!MANURE,(IF(U24="N",3,IF(U24="P",4,0)))+1)*Input!N11)</f>
        <v>0</v>
      </c>
      <c r="K24" s="28">
        <f>IF(D24=0,0,J24*VLOOKUP(Input!R24,[0]!MANURE,5))-F24</f>
        <v>0</v>
      </c>
      <c r="L24" s="29">
        <f>IF(D24=0,0,J24*K$8)</f>
        <v>0</v>
      </c>
      <c r="O24" s="46">
        <f>IF(D24=0,0,VLOOKUP(C24,Removal!$B$4:$J$41,6)*D24*Input!V$18)</f>
        <v>0</v>
      </c>
      <c r="P24" s="24">
        <f>IF(D24=0,0,VLOOKUP(Input!L10,[0]!REMOVAL,8))</f>
        <v>0</v>
      </c>
      <c r="Q24" s="220">
        <f>IF(J23&gt;0,Input!F21,0)+IF(J22&gt;0,Input!F22,0)</f>
        <v>0</v>
      </c>
      <c r="R24" s="24">
        <f>Input!M18*0.3*6+Input!M19*0.3*6+Input!M20*0.3*6+Input!M21*0.3*6</f>
        <v>0</v>
      </c>
      <c r="S24" s="220">
        <f>IF((O24-P24-Q24-R24)&lt;0,0,(O24-P24-Q24-R24))</f>
        <v>0</v>
      </c>
      <c r="T24" s="24">
        <f>IF(D24=0,0,VLOOKUP(C24,[0]!REMOVAL,7))</f>
        <v>0</v>
      </c>
      <c r="U24" s="48">
        <f>IF(OR(Input!T$18=1,Input!T$18=2),VLOOKUP(Y24,[0]!Bray,($G$10+4)+1),IF(Input!T$18=3,VLOOKUP(Y24,[0]!Olsen,($G$10+4)+1),0))</f>
        <v>0</v>
      </c>
      <c r="V24" s="47">
        <f>IF(OR(Input!T$18=1,Input!T$18=2),VLOOKUP(Y24,[0]!Bray,($G$10+7)+1),IF(Input!T$18=3,VLOOKUP(Y24,[0]!Olsen,($G$10+7)+1),0))</f>
        <v>0</v>
      </c>
      <c r="W24" s="51">
        <f>IF(U24="P",F24*V24,0)</f>
        <v>0</v>
      </c>
      <c r="Y24" s="54" t="b">
        <f>IF(T24="AL",G24+1000,IF(T24="PL",G24+2000,IF(T24="Other",G24+3000)))</f>
        <v>0</v>
      </c>
    </row>
    <row r="25" spans="1:25" s="194" customFormat="1" ht="24" customHeight="1" thickBot="1" x14ac:dyDescent="0.3">
      <c r="A25" s="61"/>
      <c r="B25" s="37">
        <f>IF(Input!K12&gt;0,Input!K12,"")</f>
        <v>2005</v>
      </c>
      <c r="C25" s="38" t="str">
        <f>IF(Input!M12=0,"",IF(MATCH(Input!L12,Removal!B$5:B$41,0)&lt;&gt;0,Input!L12,"#N/A"))</f>
        <v/>
      </c>
      <c r="D25" s="39">
        <f>IF(Input!K12&gt;0,Input!M12,"")</f>
        <v>0</v>
      </c>
      <c r="E25" s="217">
        <f>IF(D25=0,0,VLOOKUP(C25,Removal!$B$4:$J$41,4)*D25)</f>
        <v>0</v>
      </c>
      <c r="F25" s="217">
        <f>IF(D25=0,0,VLOOKUP(C25,Removal!$B$4:$J$41,5)*D25)</f>
        <v>0</v>
      </c>
      <c r="G25" s="40" t="e">
        <f>IF((K24/IF(OR(Input!T18=1,Input!T18=2),11.5,IF(Input!T18=3,30,1/0))+G24)&lt;0,0,K24/IF(OR(Input!T18=1,Input!T18=2),11.5,IF(Input!T18=3,30,1/0))+G24)</f>
        <v>#DIV/0!</v>
      </c>
      <c r="H25" s="41">
        <f>IF(D25=0,0,IF(OR(Input!T$18=1,Input!T$18=2),VLOOKUP(Y25,Bray,($G$10+1)+1),IF(Input!T$18=3,VLOOKUP(Y25,Olsen,($G$10+1)+1),0)))</f>
        <v>0</v>
      </c>
      <c r="I25" s="42">
        <f>IF(D25=0,0,IF(U25="N",'Nitrogen Rates'!G10,IF(U25="P",F25*V25,1/0)))</f>
        <v>0</v>
      </c>
      <c r="J25" s="43">
        <f>IF(D25=0,0,I25/VLOOKUP(Input!R24,[0]!MANURE,(IF(U25="N",3,IF(U25="P",4,0)))+1)*Input!N12)</f>
        <v>0</v>
      </c>
      <c r="K25" s="44">
        <f>IF(D25=0,0,J25*VLOOKUP(Input!R24,[0]!MANURE,5))-F25</f>
        <v>0</v>
      </c>
      <c r="L25" s="45">
        <f>IF(D25=0,0,J25*K$8)</f>
        <v>0</v>
      </c>
      <c r="O25" s="223">
        <f>IF(D25=0,0,VLOOKUP(C25,Removal!$B$4:$J$41,6)*D25*Input!V$18)</f>
        <v>0</v>
      </c>
      <c r="P25" s="41">
        <f>IF(D25=0,0,VLOOKUP(Input!L11,[0]!REMOVAL,8))</f>
        <v>0</v>
      </c>
      <c r="Q25" s="221">
        <f>IF(J24&gt;0,Input!F21,0)+IF(J23&gt;0,Input!F22,0)</f>
        <v>0</v>
      </c>
      <c r="R25" s="41">
        <f>Input!M18*0.3*6+Input!M19*0.3*6+Input!M20*0.3*6+Input!M21*0.3*6</f>
        <v>0</v>
      </c>
      <c r="S25" s="221">
        <f>IF((O25-P25-Q25-R25)&lt;0,0,(O25-P25-Q25-R25))</f>
        <v>0</v>
      </c>
      <c r="T25" s="41">
        <f>IF(D25=0,0,VLOOKUP(C25,[0]!REMOVAL,7))</f>
        <v>0</v>
      </c>
      <c r="U25" s="52">
        <f>IF(OR(Input!T$18=1,Input!T$18=2),VLOOKUP(Y25,[0]!Bray,($G$10+4)+1),IF(Input!T$18=3,VLOOKUP(Y25,[0]!Olsen,($G$10+4)+1),0))</f>
        <v>0</v>
      </c>
      <c r="V25" s="41">
        <f>IF(OR(Input!T$18=1,Input!T$18=2),VLOOKUP(Y25,[0]!Bray,($G$10+7)+1),IF(Input!T$18=3,VLOOKUP(Y25,[0]!Olsen,($G$10+7)+1),0))</f>
        <v>0</v>
      </c>
      <c r="W25" s="53">
        <f>IF(U25="P",F25*V25,0)</f>
        <v>0</v>
      </c>
      <c r="Y25" s="54" t="b">
        <f>IF(T25="AL",G25+1000,IF(T25="PL",G25+2000,IF(T25="Other",G25+3000)))</f>
        <v>0</v>
      </c>
    </row>
    <row r="26" spans="1:25" ht="14.1" customHeight="1" x14ac:dyDescent="0.25">
      <c r="B26" s="60" t="s">
        <v>287</v>
      </c>
    </row>
    <row r="29" spans="1:25" ht="14.1" customHeight="1" x14ac:dyDescent="0.25">
      <c r="B29" s="64"/>
      <c r="C29" s="64"/>
      <c r="D29" s="64"/>
      <c r="E29" s="64"/>
      <c r="F29" s="64"/>
    </row>
    <row r="30" spans="1:25" ht="14.1" customHeight="1" x14ac:dyDescent="0.25">
      <c r="B30" s="123"/>
      <c r="C30" s="123"/>
      <c r="D30" s="123"/>
      <c r="E30" s="123"/>
      <c r="F30" s="123"/>
      <c r="G30" s="195"/>
    </row>
    <row r="31" spans="1:25" ht="14.1" customHeight="1" x14ac:dyDescent="0.25">
      <c r="B31" s="123"/>
      <c r="C31" s="123"/>
      <c r="D31" s="123"/>
      <c r="E31" s="123"/>
      <c r="F31" s="123"/>
      <c r="G31" s="195"/>
    </row>
    <row r="32" spans="1:25" ht="14.1" customHeight="1" x14ac:dyDescent="0.25">
      <c r="B32" s="123"/>
      <c r="C32" s="123"/>
      <c r="D32" s="123"/>
      <c r="E32" s="123"/>
      <c r="F32" s="123"/>
      <c r="G32" s="195"/>
    </row>
    <row r="33" spans="2:12" ht="14.1" customHeight="1" x14ac:dyDescent="0.25">
      <c r="B33" s="132"/>
      <c r="C33" s="132"/>
      <c r="D33" s="132"/>
      <c r="E33" s="132"/>
      <c r="F33" s="132"/>
    </row>
    <row r="34" spans="2:12" ht="14.1" customHeight="1" x14ac:dyDescent="0.25">
      <c r="B34" s="64"/>
      <c r="C34" s="64"/>
      <c r="D34" s="64"/>
      <c r="E34" s="64"/>
      <c r="F34" s="64"/>
    </row>
    <row r="35" spans="2:12" ht="20.100000000000001" customHeight="1" x14ac:dyDescent="0.3">
      <c r="G35" s="231"/>
      <c r="L35" s="196"/>
    </row>
    <row r="41" spans="2:12" ht="14.1" customHeight="1" x14ac:dyDescent="0.25">
      <c r="C41" s="197"/>
    </row>
    <row r="42" spans="2:12" ht="14.1" customHeight="1" x14ac:dyDescent="0.25">
      <c r="C42" s="31"/>
    </row>
    <row r="45" spans="2:12" ht="13.2" x14ac:dyDescent="0.25"/>
    <row r="55" ht="13.2" x14ac:dyDescent="0.25"/>
  </sheetData>
  <sheetProtection password="C0DF" sheet="1" objects="1" scenarios="1" selectLockedCells="1"/>
  <mergeCells count="5">
    <mergeCell ref="H10:J10"/>
    <mergeCell ref="B8:C8"/>
    <mergeCell ref="B10:C10"/>
    <mergeCell ref="D10:E10"/>
    <mergeCell ref="G8:H8"/>
  </mergeCells>
  <phoneticPr fontId="0" type="noConversion"/>
  <pageMargins left="0.67" right="0.54" top="0.6" bottom="0.73" header="0.54" footer="0.5"/>
  <pageSetup scale="88" orientation="landscape" horizontalDpi="300" verticalDpi="300" r:id="rId1"/>
  <headerFooter alignWithMargins="0">
    <oddFooter>&amp;L&amp;8File: &amp;F    Tab: &amp;A&amp;R&amp;8NUP version 3.5 revised April, 2010;    Page &amp;P of &amp;N</oddFooter>
  </headerFooter>
  <cellWatches>
    <cellWatch r="Q21"/>
  </cellWatche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48"/>
    <pageSetUpPr fitToPage="1"/>
  </sheetPr>
  <dimension ref="B2:P45"/>
  <sheetViews>
    <sheetView zoomScale="87" zoomScaleNormal="87" workbookViewId="0"/>
  </sheetViews>
  <sheetFormatPr defaultColWidth="8.90625" defaultRowHeight="13.2" x14ac:dyDescent="0.25"/>
  <cols>
    <col min="1" max="1" width="4.81640625" style="57" customWidth="1"/>
    <col min="2" max="2" width="6.81640625" style="57" customWidth="1"/>
    <col min="3" max="11" width="9" style="57" bestFit="1" customWidth="1"/>
    <col min="12" max="12" width="9.36328125" style="57" bestFit="1" customWidth="1"/>
    <col min="13" max="15" width="9" style="57" bestFit="1" customWidth="1"/>
    <col min="16" max="16384" width="8.90625" style="57"/>
  </cols>
  <sheetData>
    <row r="2" spans="2:16" ht="15.6" x14ac:dyDescent="0.3">
      <c r="B2" s="55"/>
      <c r="C2" s="56" t="s">
        <v>270</v>
      </c>
      <c r="K2" s="57" t="s">
        <v>228</v>
      </c>
      <c r="L2" s="58">
        <f>Input!L2</f>
        <v>0</v>
      </c>
    </row>
    <row r="4" spans="2:16" x14ac:dyDescent="0.25">
      <c r="B4" s="57" t="s">
        <v>229</v>
      </c>
      <c r="K4" s="57" t="s">
        <v>233</v>
      </c>
      <c r="L4" s="59">
        <f>Input!K8</f>
        <v>2001</v>
      </c>
    </row>
    <row r="5" spans="2:16" x14ac:dyDescent="0.25">
      <c r="B5" s="60" t="s">
        <v>230</v>
      </c>
      <c r="L5" s="61" t="s">
        <v>94</v>
      </c>
    </row>
    <row r="6" spans="2:16" ht="15" x14ac:dyDescent="0.25">
      <c r="B6" s="60" t="s">
        <v>231</v>
      </c>
      <c r="K6" s="57" t="s">
        <v>58</v>
      </c>
      <c r="L6" s="595">
        <f>Input!F7</f>
        <v>0</v>
      </c>
      <c r="M6" s="596"/>
    </row>
    <row r="7" spans="2:16" ht="15" x14ac:dyDescent="0.25">
      <c r="K7" s="57" t="s">
        <v>234</v>
      </c>
      <c r="L7" s="597">
        <f>+Input!L8</f>
        <v>0</v>
      </c>
      <c r="M7" s="598"/>
    </row>
    <row r="8" spans="2:16" x14ac:dyDescent="0.25">
      <c r="B8" s="57" t="s">
        <v>232</v>
      </c>
      <c r="D8" s="212">
        <f>Input!D5</f>
        <v>0</v>
      </c>
      <c r="E8" s="62"/>
      <c r="F8" s="62"/>
      <c r="G8" s="62"/>
      <c r="H8" s="62"/>
      <c r="I8" s="62"/>
      <c r="K8" s="57" t="s">
        <v>236</v>
      </c>
      <c r="L8" s="59">
        <f>Input!M8</f>
        <v>0</v>
      </c>
      <c r="P8" s="63"/>
    </row>
    <row r="9" spans="2:16" s="64" customFormat="1" x14ac:dyDescent="0.25"/>
    <row r="10" spans="2:16" s="66" customFormat="1" ht="13.8" thickBot="1" x14ac:dyDescent="0.3">
      <c r="B10" s="65"/>
      <c r="C10" s="65"/>
      <c r="D10" s="65"/>
      <c r="E10" s="65"/>
      <c r="F10" s="65"/>
      <c r="G10" s="65"/>
      <c r="H10" s="65"/>
      <c r="I10" s="65"/>
      <c r="J10" s="65"/>
      <c r="K10" s="65"/>
      <c r="L10" s="65"/>
      <c r="M10" s="65"/>
      <c r="N10" s="65"/>
      <c r="O10" s="65"/>
      <c r="P10" s="64"/>
    </row>
    <row r="11" spans="2:16" x14ac:dyDescent="0.25">
      <c r="P11" s="63"/>
    </row>
    <row r="12" spans="2:16" ht="13.8" thickBot="1" x14ac:dyDescent="0.3">
      <c r="B12" s="63" t="s">
        <v>65</v>
      </c>
      <c r="J12" s="57" t="s">
        <v>263</v>
      </c>
      <c r="P12" s="63"/>
    </row>
    <row r="13" spans="2:16" ht="14.4" thickTop="1" thickBot="1" x14ac:dyDescent="0.3">
      <c r="B13" s="67"/>
      <c r="C13" s="68"/>
      <c r="D13" s="69" t="s">
        <v>68</v>
      </c>
      <c r="E13" s="70" t="s">
        <v>245</v>
      </c>
      <c r="F13" s="71" t="s">
        <v>70</v>
      </c>
      <c r="J13" s="72" t="s">
        <v>255</v>
      </c>
      <c r="K13" s="73"/>
      <c r="L13" s="73"/>
      <c r="M13" s="74" t="str">
        <f>IF(Input!N25="x","x","")</f>
        <v/>
      </c>
      <c r="P13" s="63"/>
    </row>
    <row r="14" spans="2:16" ht="13.8" thickBot="1" x14ac:dyDescent="0.3">
      <c r="B14" s="75" t="s">
        <v>271</v>
      </c>
      <c r="C14" s="63"/>
      <c r="D14" s="76" t="s">
        <v>73</v>
      </c>
      <c r="E14" s="77">
        <f>Input!M18</f>
        <v>0</v>
      </c>
      <c r="F14" s="78">
        <f>Input!N18</f>
        <v>0</v>
      </c>
      <c r="J14" s="79" t="s">
        <v>256</v>
      </c>
      <c r="K14" s="80"/>
      <c r="L14" s="80"/>
      <c r="M14" s="81" t="str">
        <f>IF(Input!N26="x","x","")</f>
        <v/>
      </c>
      <c r="P14" s="63"/>
    </row>
    <row r="15" spans="2:16" x14ac:dyDescent="0.25">
      <c r="B15" s="82" t="s">
        <v>74</v>
      </c>
      <c r="C15" s="83" t="str">
        <f>IF(Input!K19="x","x","")</f>
        <v/>
      </c>
      <c r="D15" s="84" t="s">
        <v>75</v>
      </c>
      <c r="E15" s="85">
        <f>Input!M19</f>
        <v>0</v>
      </c>
      <c r="F15" s="86" t="s">
        <v>273</v>
      </c>
      <c r="J15" s="87" t="s">
        <v>257</v>
      </c>
      <c r="K15" s="88"/>
      <c r="L15" s="88"/>
      <c r="M15" s="89" t="str">
        <f>IF(Input!N27="x","x","")</f>
        <v/>
      </c>
    </row>
    <row r="16" spans="2:16" ht="13.8" thickBot="1" x14ac:dyDescent="0.3">
      <c r="B16" s="82" t="s">
        <v>235</v>
      </c>
      <c r="C16" s="83" t="str">
        <f>IF(Input!K20="x","x","")</f>
        <v/>
      </c>
      <c r="D16" s="84" t="s">
        <v>77</v>
      </c>
      <c r="E16" s="85">
        <f>Input!M20</f>
        <v>0</v>
      </c>
      <c r="F16" s="86" t="s">
        <v>273</v>
      </c>
      <c r="J16" s="79" t="s">
        <v>258</v>
      </c>
      <c r="K16" s="80"/>
      <c r="L16" s="80"/>
      <c r="M16" s="81" t="str">
        <f>IF(Input!N28="x","x","")</f>
        <v/>
      </c>
    </row>
    <row r="17" spans="2:14" ht="13.8" thickBot="1" x14ac:dyDescent="0.3">
      <c r="B17" s="90" t="s">
        <v>78</v>
      </c>
      <c r="C17" s="91" t="str">
        <f>IF(Input!K21="x","x","")</f>
        <v/>
      </c>
      <c r="D17" s="92" t="s">
        <v>79</v>
      </c>
      <c r="E17" s="93">
        <f>Input!M21</f>
        <v>0</v>
      </c>
      <c r="F17" s="94" t="s">
        <v>273</v>
      </c>
      <c r="J17" s="87" t="s">
        <v>259</v>
      </c>
      <c r="K17" s="88"/>
      <c r="L17" s="88"/>
      <c r="M17" s="89" t="str">
        <f>IF(Input!N29="x","x","")</f>
        <v/>
      </c>
    </row>
    <row r="18" spans="2:14" ht="14.4" thickTop="1" thickBot="1" x14ac:dyDescent="0.3">
      <c r="J18" s="79" t="s">
        <v>260</v>
      </c>
      <c r="K18" s="80"/>
      <c r="L18" s="80"/>
      <c r="M18" s="81" t="str">
        <f>IF(Input!N30="x","x","")</f>
        <v/>
      </c>
    </row>
    <row r="19" spans="2:14" ht="13.8" thickBot="1" x14ac:dyDescent="0.3">
      <c r="B19" s="57" t="s">
        <v>237</v>
      </c>
      <c r="J19" s="87" t="s">
        <v>261</v>
      </c>
      <c r="K19" s="88"/>
      <c r="L19" s="88"/>
      <c r="M19" s="89" t="str">
        <f>IF(Input!N31="x","x","")</f>
        <v/>
      </c>
    </row>
    <row r="20" spans="2:14" ht="14.4" thickTop="1" thickBot="1" x14ac:dyDescent="0.3">
      <c r="B20" s="95" t="s">
        <v>122</v>
      </c>
      <c r="C20" s="70" t="s">
        <v>268</v>
      </c>
      <c r="D20" s="70" t="s">
        <v>238</v>
      </c>
      <c r="E20" s="70" t="s">
        <v>239</v>
      </c>
      <c r="F20" s="70" t="s">
        <v>240</v>
      </c>
      <c r="G20" s="70" t="s">
        <v>241</v>
      </c>
      <c r="H20" s="96" t="s">
        <v>272</v>
      </c>
      <c r="J20" s="97" t="s">
        <v>262</v>
      </c>
      <c r="K20" s="98"/>
      <c r="L20" s="98"/>
      <c r="M20" s="99" t="str">
        <f>IF(Input!N32="x","x","")</f>
        <v/>
      </c>
    </row>
    <row r="21" spans="2:14" ht="13.8" thickBot="1" x14ac:dyDescent="0.3">
      <c r="B21" s="100">
        <f>Input!M8</f>
        <v>0</v>
      </c>
      <c r="C21" s="215" t="e">
        <f>VLOOKUP(L7,Removal!$B$5:$J$41,6)</f>
        <v>#N/A</v>
      </c>
      <c r="D21" s="101" t="e">
        <f>Input!V18</f>
        <v>#DIV/0!</v>
      </c>
      <c r="E21" s="101">
        <f>Worksheet!P21</f>
        <v>0</v>
      </c>
      <c r="F21" s="222">
        <f>Worksheet!Q21</f>
        <v>0</v>
      </c>
      <c r="G21" s="101">
        <f>G29</f>
        <v>0</v>
      </c>
      <c r="H21" s="224" t="e">
        <f>B21*C21*D21-E21-F21-G21</f>
        <v>#N/A</v>
      </c>
    </row>
    <row r="22" spans="2:14" ht="13.8" thickTop="1" x14ac:dyDescent="0.25"/>
    <row r="23" spans="2:14" ht="13.8" thickBot="1" x14ac:dyDescent="0.3">
      <c r="B23" s="57" t="s">
        <v>242</v>
      </c>
      <c r="J23" s="57" t="s">
        <v>247</v>
      </c>
    </row>
    <row r="24" spans="2:14" ht="14.4" thickTop="1" thickBot="1" x14ac:dyDescent="0.3">
      <c r="B24" s="95" t="s">
        <v>68</v>
      </c>
      <c r="C24" s="70" t="s">
        <v>243</v>
      </c>
      <c r="D24" s="70" t="s">
        <v>244</v>
      </c>
      <c r="E24" s="70" t="s">
        <v>245</v>
      </c>
      <c r="F24" s="70"/>
      <c r="G24" s="102" t="s">
        <v>269</v>
      </c>
      <c r="J24" s="103" t="s">
        <v>248</v>
      </c>
      <c r="K24" s="70" t="s">
        <v>81</v>
      </c>
      <c r="L24" s="70" t="s">
        <v>82</v>
      </c>
      <c r="M24" s="70" t="s">
        <v>83</v>
      </c>
      <c r="N24" s="102" t="s">
        <v>84</v>
      </c>
    </row>
    <row r="25" spans="2:14" x14ac:dyDescent="0.25">
      <c r="B25" s="104" t="s">
        <v>73</v>
      </c>
      <c r="C25" s="105">
        <v>6</v>
      </c>
      <c r="D25" s="105">
        <v>0.3</v>
      </c>
      <c r="E25" s="105">
        <f>+E14</f>
        <v>0</v>
      </c>
      <c r="F25" s="105"/>
      <c r="G25" s="106">
        <f>+C25*D25*E25</f>
        <v>0</v>
      </c>
      <c r="J25" s="75" t="s">
        <v>249</v>
      </c>
      <c r="K25" s="77">
        <f>Input!C27</f>
        <v>0</v>
      </c>
      <c r="L25" s="77">
        <f>Input!D27</f>
        <v>0</v>
      </c>
      <c r="M25" s="225">
        <f>Input!E27</f>
        <v>0</v>
      </c>
      <c r="N25" s="228">
        <f>Input!F27</f>
        <v>0</v>
      </c>
    </row>
    <row r="26" spans="2:14" x14ac:dyDescent="0.25">
      <c r="B26" s="107" t="s">
        <v>75</v>
      </c>
      <c r="C26" s="108">
        <v>6</v>
      </c>
      <c r="D26" s="108">
        <v>0.3</v>
      </c>
      <c r="E26" s="108">
        <f>+E15</f>
        <v>0</v>
      </c>
      <c r="F26" s="108"/>
      <c r="G26" s="109">
        <f>+C26*D26*E26</f>
        <v>0</v>
      </c>
      <c r="J26" s="82" t="s">
        <v>250</v>
      </c>
      <c r="K26" s="85">
        <f>Input!C28</f>
        <v>0</v>
      </c>
      <c r="L26" s="85">
        <f>Input!D28</f>
        <v>0</v>
      </c>
      <c r="M26" s="226">
        <f>Input!E28</f>
        <v>0</v>
      </c>
      <c r="N26" s="229">
        <f>Input!F28</f>
        <v>0</v>
      </c>
    </row>
    <row r="27" spans="2:14" x14ac:dyDescent="0.25">
      <c r="B27" s="107" t="s">
        <v>77</v>
      </c>
      <c r="C27" s="108">
        <v>6</v>
      </c>
      <c r="D27" s="108">
        <v>0.3</v>
      </c>
      <c r="E27" s="108">
        <f>+E16</f>
        <v>0</v>
      </c>
      <c r="F27" s="108"/>
      <c r="G27" s="109">
        <f>+C27*D27*E27</f>
        <v>0</v>
      </c>
      <c r="J27" s="82" t="s">
        <v>251</v>
      </c>
      <c r="K27" s="85">
        <f>Input!C29</f>
        <v>0</v>
      </c>
      <c r="L27" s="85">
        <f>Input!D29</f>
        <v>0</v>
      </c>
      <c r="M27" s="226">
        <f>Input!E29</f>
        <v>0</v>
      </c>
      <c r="N27" s="229">
        <f>Input!F29</f>
        <v>0</v>
      </c>
    </row>
    <row r="28" spans="2:14" ht="13.8" thickBot="1" x14ac:dyDescent="0.3">
      <c r="B28" s="110" t="s">
        <v>79</v>
      </c>
      <c r="C28" s="111">
        <v>6</v>
      </c>
      <c r="D28" s="111">
        <v>0.3</v>
      </c>
      <c r="E28" s="112">
        <f>+E17</f>
        <v>0</v>
      </c>
      <c r="F28" s="112"/>
      <c r="G28" s="109">
        <f>+C28*D28*E28</f>
        <v>0</v>
      </c>
      <c r="J28" s="82" t="s">
        <v>252</v>
      </c>
      <c r="K28" s="85">
        <f>Input!C30</f>
        <v>0</v>
      </c>
      <c r="L28" s="85">
        <f>Input!D30</f>
        <v>0</v>
      </c>
      <c r="M28" s="226">
        <f>Input!E30</f>
        <v>0</v>
      </c>
      <c r="N28" s="229">
        <f>Input!F30</f>
        <v>0</v>
      </c>
    </row>
    <row r="29" spans="2:14" ht="13.8" thickBot="1" x14ac:dyDescent="0.3">
      <c r="B29" s="114"/>
      <c r="C29" s="115"/>
      <c r="D29" s="115"/>
      <c r="E29" s="115"/>
      <c r="F29" s="115" t="s">
        <v>246</v>
      </c>
      <c r="G29" s="116">
        <f>SUM(G25:G28)</f>
        <v>0</v>
      </c>
      <c r="J29" s="90" t="s">
        <v>173</v>
      </c>
      <c r="K29" s="117">
        <f>Input!C31</f>
        <v>0</v>
      </c>
      <c r="L29" s="117">
        <f>Input!D31</f>
        <v>0</v>
      </c>
      <c r="M29" s="227">
        <f>Input!E31</f>
        <v>0</v>
      </c>
      <c r="N29" s="230">
        <f>Input!F31</f>
        <v>0</v>
      </c>
    </row>
    <row r="30" spans="2:14" ht="13.8" thickTop="1" x14ac:dyDescent="0.25"/>
    <row r="32" spans="2:14" ht="13.8" thickBot="1" x14ac:dyDescent="0.3">
      <c r="H32" s="57" t="s">
        <v>253</v>
      </c>
    </row>
    <row r="33" spans="2:16" ht="14.4" thickTop="1" thickBot="1" x14ac:dyDescent="0.3">
      <c r="F33" s="63"/>
      <c r="G33" s="63"/>
      <c r="H33" s="103"/>
      <c r="I33" s="118" t="s">
        <v>266</v>
      </c>
      <c r="J33" s="119"/>
      <c r="K33" s="120"/>
      <c r="L33" s="119" t="s">
        <v>265</v>
      </c>
      <c r="M33" s="119"/>
      <c r="N33" s="120"/>
      <c r="O33" s="102" t="s">
        <v>252</v>
      </c>
      <c r="P33" s="61"/>
    </row>
    <row r="34" spans="2:16" ht="18" customHeight="1" thickBot="1" x14ac:dyDescent="0.3">
      <c r="B34" s="64"/>
      <c r="C34" s="64"/>
      <c r="D34" s="64"/>
      <c r="E34" s="64"/>
      <c r="F34" s="64"/>
      <c r="G34" s="121"/>
      <c r="H34" s="122" t="str">
        <f>IF(Input!$R$24&gt;4," Liquid"," Solid")</f>
        <v xml:space="preserve"> Solid</v>
      </c>
      <c r="I34" s="198">
        <f>IF(Input!$R24&gt;4,M26,N26)</f>
        <v>0</v>
      </c>
      <c r="J34" s="199">
        <v>0.33</v>
      </c>
      <c r="K34" s="200">
        <f>+I34*J34</f>
        <v>0</v>
      </c>
      <c r="L34" s="199">
        <f>IF(Input!$R24&gt;4,M27,N27)</f>
        <v>0</v>
      </c>
      <c r="M34" s="199">
        <f>Input!U24</f>
        <v>0</v>
      </c>
      <c r="N34" s="200">
        <f>+L34*Input!U24</f>
        <v>0</v>
      </c>
      <c r="O34" s="201">
        <f>IF(Input!$R24&gt;4,M28,N28)</f>
        <v>0</v>
      </c>
      <c r="P34" s="61"/>
    </row>
    <row r="35" spans="2:16" x14ac:dyDescent="0.25">
      <c r="B35" s="123"/>
      <c r="C35" s="123"/>
      <c r="D35" s="123"/>
      <c r="E35" s="123"/>
      <c r="F35" s="123"/>
      <c r="G35" s="121"/>
      <c r="H35" s="75"/>
      <c r="I35" s="124"/>
      <c r="J35" s="124"/>
      <c r="K35" s="124"/>
      <c r="L35" s="124"/>
      <c r="M35" s="124"/>
      <c r="N35" s="124"/>
      <c r="O35" s="106"/>
      <c r="P35" s="61"/>
    </row>
    <row r="36" spans="2:16" x14ac:dyDescent="0.25">
      <c r="B36" s="123"/>
      <c r="C36" s="123"/>
      <c r="D36" s="123"/>
      <c r="E36" s="123"/>
      <c r="F36" s="123"/>
      <c r="G36" s="121"/>
      <c r="H36" s="75"/>
      <c r="I36" s="125" t="s">
        <v>264</v>
      </c>
      <c r="J36" s="125"/>
      <c r="K36" s="125"/>
      <c r="L36" s="125"/>
      <c r="M36" s="124"/>
      <c r="N36" s="124"/>
      <c r="O36" s="106"/>
      <c r="P36" s="61"/>
    </row>
    <row r="37" spans="2:16" ht="13.8" thickBot="1" x14ac:dyDescent="0.3">
      <c r="B37" s="123"/>
      <c r="C37" s="123"/>
      <c r="D37" s="123"/>
      <c r="E37" s="123"/>
      <c r="F37" s="123"/>
      <c r="G37" s="126"/>
      <c r="H37" s="127"/>
      <c r="I37" s="111" t="s">
        <v>250</v>
      </c>
      <c r="J37" s="111" t="s">
        <v>251</v>
      </c>
      <c r="K37" s="111" t="s">
        <v>252</v>
      </c>
      <c r="L37" s="128" t="s">
        <v>249</v>
      </c>
      <c r="M37" s="129"/>
      <c r="N37" s="130"/>
      <c r="O37" s="113"/>
      <c r="P37" s="61"/>
    </row>
    <row r="38" spans="2:16" ht="18" customHeight="1" x14ac:dyDescent="0.25">
      <c r="B38" s="131"/>
      <c r="C38" s="132"/>
      <c r="D38" s="132"/>
      <c r="E38" s="132"/>
      <c r="F38" s="132"/>
      <c r="G38" s="63"/>
      <c r="H38" s="133" t="str">
        <f>IF(Input!$R$24&gt;4," Liquid"," Solid")</f>
        <v xml:space="preserve"> Solid</v>
      </c>
      <c r="I38" s="202">
        <f>+K34</f>
        <v>0</v>
      </c>
      <c r="J38" s="202">
        <f>+N34</f>
        <v>0</v>
      </c>
      <c r="K38" s="202">
        <f>+O34</f>
        <v>0</v>
      </c>
      <c r="L38" s="203">
        <f>IF(Input!$R$24&gt;4,SUM(I38:K38),IF(Input!$R$24&lt;5,SUM(I38:K38)))</f>
        <v>0</v>
      </c>
      <c r="M38" s="134" t="str">
        <f>IF(Input!$R$24&gt;4," (lbs/acre inch)"," (lbs/ton)")</f>
        <v xml:space="preserve"> (lbs/ton)</v>
      </c>
      <c r="N38" s="135"/>
      <c r="O38" s="136"/>
      <c r="P38" s="61"/>
    </row>
    <row r="39" spans="2:16" ht="18" customHeight="1" thickBot="1" x14ac:dyDescent="0.3">
      <c r="B39" s="64"/>
      <c r="C39" s="64"/>
      <c r="D39" s="64"/>
      <c r="E39" s="64"/>
      <c r="F39" s="64"/>
      <c r="H39" s="137"/>
      <c r="I39" s="204"/>
      <c r="J39" s="204"/>
      <c r="K39" s="204"/>
      <c r="L39" s="205" t="str">
        <f>IF(Input!$R$24&gt;4,L38/27,"")</f>
        <v/>
      </c>
      <c r="M39" s="138" t="str">
        <f>IF(Input!$R$24&gt;4," (lbs/1000 gallons)*","")</f>
        <v/>
      </c>
      <c r="N39" s="139"/>
      <c r="O39" s="140"/>
      <c r="P39" s="61"/>
    </row>
    <row r="40" spans="2:16" ht="13.8" thickTop="1" x14ac:dyDescent="0.25">
      <c r="I40" s="206"/>
      <c r="J40" s="206"/>
      <c r="K40" s="206"/>
      <c r="L40" s="206"/>
      <c r="M40" s="141"/>
      <c r="N40" s="141"/>
      <c r="O40" s="61"/>
      <c r="P40" s="61"/>
    </row>
    <row r="41" spans="2:16" ht="13.8" thickBot="1" x14ac:dyDescent="0.3">
      <c r="H41" s="57" t="s">
        <v>267</v>
      </c>
      <c r="I41" s="207"/>
      <c r="J41" s="207"/>
      <c r="K41" s="207"/>
      <c r="L41" s="207"/>
      <c r="M41" s="66"/>
      <c r="N41" s="66"/>
      <c r="P41" s="61"/>
    </row>
    <row r="42" spans="2:16" ht="18" customHeight="1" thickTop="1" thickBot="1" x14ac:dyDescent="0.3">
      <c r="H42" s="142" t="s">
        <v>90</v>
      </c>
      <c r="I42" s="208"/>
      <c r="J42" s="208"/>
      <c r="K42" s="208"/>
      <c r="L42" s="209">
        <f>IF(Input!$R$24&gt;4,M29/27,N29)</f>
        <v>0</v>
      </c>
      <c r="M42" s="143" t="str">
        <f>IF(Input!$R$24&gt;4," (lbs/1000 gallons)*"," (lbs/ton)")</f>
        <v xml:space="preserve"> (lbs/ton)</v>
      </c>
      <c r="N42" s="144"/>
      <c r="O42" s="145"/>
      <c r="P42" s="61"/>
    </row>
    <row r="43" spans="2:16" ht="13.8" thickTop="1" x14ac:dyDescent="0.25">
      <c r="I43" s="61"/>
      <c r="J43" s="61"/>
      <c r="K43" s="61"/>
      <c r="L43" s="61"/>
      <c r="M43" s="61"/>
      <c r="N43" s="61"/>
      <c r="O43" s="61"/>
    </row>
    <row r="44" spans="2:16" x14ac:dyDescent="0.25">
      <c r="H44" s="146" t="s">
        <v>254</v>
      </c>
    </row>
    <row r="45" spans="2:16" x14ac:dyDescent="0.25">
      <c r="L45" s="214"/>
    </row>
  </sheetData>
  <sheetProtection password="C0DF" sheet="1" objects="1" scenarios="1" selectLockedCells="1"/>
  <mergeCells count="2">
    <mergeCell ref="L6:M6"/>
    <mergeCell ref="L7:M7"/>
  </mergeCells>
  <phoneticPr fontId="0" type="noConversion"/>
  <pageMargins left="0.67" right="0.54" top="0.6" bottom="0.73" header="0.54" footer="0.5"/>
  <pageSetup scale="84" orientation="landscape" r:id="rId1"/>
  <headerFooter alignWithMargins="0">
    <oddFooter>&amp;L&amp;8File: &amp;F    Tab: &amp;A&amp;R&amp;8NUP version 3.5 revised April, 2010;    Page &amp;P of &amp;N</oddFooter>
  </headerFooter>
  <colBreaks count="1" manualBreakCount="1">
    <brk id="15" min="1" max="47"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pageSetUpPr autoPageBreaks="0" fitToPage="1"/>
  </sheetPr>
  <dimension ref="B1:L55"/>
  <sheetViews>
    <sheetView showOutlineSymbols="0" zoomScale="87" zoomScaleNormal="87" workbookViewId="0">
      <selection activeCell="E1" sqref="E1:L1"/>
    </sheetView>
  </sheetViews>
  <sheetFormatPr defaultColWidth="8.81640625" defaultRowHeight="12.6" customHeight="1" x14ac:dyDescent="0.25"/>
  <cols>
    <col min="1" max="2" width="8.81640625" style="60" customWidth="1"/>
    <col min="3" max="3" width="11.54296875" style="60" customWidth="1"/>
    <col min="4" max="9" width="8.81640625" style="60" customWidth="1"/>
    <col min="10" max="10" width="7.453125" style="60" customWidth="1"/>
    <col min="11" max="11" width="8.81640625" style="60" customWidth="1"/>
    <col min="12" max="12" width="13.08984375" style="60" customWidth="1"/>
    <col min="13" max="16384" width="8.81640625" style="60"/>
  </cols>
  <sheetData>
    <row r="1" spans="2:12" ht="13.2" x14ac:dyDescent="0.25">
      <c r="B1" s="57" t="s">
        <v>19</v>
      </c>
      <c r="E1" s="599"/>
      <c r="F1" s="599"/>
      <c r="G1" s="599"/>
      <c r="H1" s="599"/>
      <c r="I1" s="599"/>
      <c r="J1" s="599"/>
      <c r="K1" s="599"/>
      <c r="L1" s="599"/>
    </row>
    <row r="2" spans="2:12" ht="12.6" customHeight="1" x14ac:dyDescent="0.25">
      <c r="D2" s="248"/>
      <c r="E2" s="248"/>
      <c r="F2" s="248"/>
      <c r="G2" s="248"/>
      <c r="H2" s="248"/>
      <c r="I2" s="248"/>
    </row>
    <row r="3" spans="2:12" ht="12.6" customHeight="1" x14ac:dyDescent="0.25">
      <c r="D3" s="248"/>
      <c r="E3" s="248"/>
      <c r="F3" s="248"/>
      <c r="G3" s="248" t="s">
        <v>171</v>
      </c>
      <c r="H3" s="248" t="s">
        <v>54</v>
      </c>
      <c r="I3" s="248" t="s">
        <v>20</v>
      </c>
      <c r="J3" s="148" t="s">
        <v>171</v>
      </c>
      <c r="K3" s="248" t="s">
        <v>329</v>
      </c>
      <c r="L3" s="61" t="s">
        <v>608</v>
      </c>
    </row>
    <row r="4" spans="2:12" ht="12.6" customHeight="1" x14ac:dyDescent="0.25">
      <c r="B4" s="278" t="s">
        <v>54</v>
      </c>
      <c r="C4" s="278"/>
      <c r="D4" s="279" t="s">
        <v>172</v>
      </c>
      <c r="E4" s="279" t="s">
        <v>92</v>
      </c>
      <c r="F4" s="279" t="s">
        <v>173</v>
      </c>
      <c r="G4" s="279" t="s">
        <v>174</v>
      </c>
      <c r="H4" s="279" t="s">
        <v>175</v>
      </c>
      <c r="I4" s="279" t="s">
        <v>176</v>
      </c>
      <c r="J4" s="280" t="s">
        <v>279</v>
      </c>
      <c r="K4" s="279" t="s">
        <v>330</v>
      </c>
      <c r="L4" s="61" t="s">
        <v>609</v>
      </c>
    </row>
    <row r="5" spans="2:12" ht="12.6" customHeight="1" x14ac:dyDescent="0.25">
      <c r="B5" s="60" t="s">
        <v>177</v>
      </c>
      <c r="D5" s="248" t="s">
        <v>84</v>
      </c>
      <c r="E5" s="281">
        <v>56</v>
      </c>
      <c r="F5" s="281">
        <v>15</v>
      </c>
      <c r="G5" s="281">
        <v>70</v>
      </c>
      <c r="H5" s="248" t="s">
        <v>151</v>
      </c>
      <c r="I5" s="248">
        <v>100</v>
      </c>
      <c r="J5" s="282">
        <f>+G5/E5</f>
        <v>1.25</v>
      </c>
      <c r="K5" s="281">
        <v>50</v>
      </c>
      <c r="L5" s="492"/>
    </row>
    <row r="6" spans="2:12" ht="12.6" customHeight="1" x14ac:dyDescent="0.25">
      <c r="B6" s="60" t="s">
        <v>294</v>
      </c>
      <c r="D6" s="248" t="s">
        <v>84</v>
      </c>
      <c r="E6" s="281">
        <v>38</v>
      </c>
      <c r="F6" s="281">
        <v>10.199999999999999</v>
      </c>
      <c r="G6" s="281">
        <v>70</v>
      </c>
      <c r="H6" s="248" t="s">
        <v>151</v>
      </c>
      <c r="I6" s="248">
        <v>100</v>
      </c>
      <c r="J6" s="282">
        <v>1.84</v>
      </c>
      <c r="K6" s="281">
        <v>35</v>
      </c>
      <c r="L6" s="492"/>
    </row>
    <row r="7" spans="2:12" ht="12.6" customHeight="1" x14ac:dyDescent="0.25">
      <c r="B7" s="60" t="s">
        <v>178</v>
      </c>
      <c r="D7" s="248" t="s">
        <v>179</v>
      </c>
      <c r="E7" s="281">
        <v>1.1000000000000001</v>
      </c>
      <c r="F7" s="281">
        <v>0.39</v>
      </c>
      <c r="G7" s="281">
        <v>1.05</v>
      </c>
      <c r="H7" s="248" t="s">
        <v>155</v>
      </c>
      <c r="I7" s="248">
        <v>0</v>
      </c>
      <c r="J7" s="282">
        <f t="shared" ref="J7:J41" si="0">+G7/E7</f>
        <v>0.95454545454545447</v>
      </c>
      <c r="K7" s="281">
        <v>0.2</v>
      </c>
      <c r="L7" s="492"/>
    </row>
    <row r="8" spans="2:12" ht="12.6" customHeight="1" x14ac:dyDescent="0.25">
      <c r="B8" s="60" t="s">
        <v>295</v>
      </c>
      <c r="D8" s="248" t="s">
        <v>84</v>
      </c>
      <c r="E8" s="281">
        <v>11.5</v>
      </c>
      <c r="F8" s="281">
        <v>2.4</v>
      </c>
      <c r="G8" s="281">
        <v>40</v>
      </c>
      <c r="H8" s="248" t="s">
        <v>155</v>
      </c>
      <c r="I8" s="248">
        <v>0</v>
      </c>
      <c r="J8" s="282">
        <f t="shared" si="0"/>
        <v>3.4782608695652173</v>
      </c>
      <c r="K8" s="281">
        <v>15</v>
      </c>
      <c r="L8" s="492"/>
    </row>
    <row r="9" spans="2:12" ht="12.6" customHeight="1" x14ac:dyDescent="0.25">
      <c r="B9" s="60" t="s">
        <v>296</v>
      </c>
      <c r="D9" s="248" t="s">
        <v>84</v>
      </c>
      <c r="E9" s="281">
        <v>46</v>
      </c>
      <c r="F9" s="281">
        <v>12</v>
      </c>
      <c r="G9" s="281">
        <v>40</v>
      </c>
      <c r="H9" s="248" t="s">
        <v>155</v>
      </c>
      <c r="I9" s="248">
        <v>0</v>
      </c>
      <c r="J9" s="282">
        <v>0.87</v>
      </c>
      <c r="K9" s="281">
        <v>50</v>
      </c>
      <c r="L9" s="492"/>
    </row>
    <row r="10" spans="2:12" ht="12.6" customHeight="1" x14ac:dyDescent="0.25">
      <c r="B10" s="60" t="s">
        <v>297</v>
      </c>
      <c r="D10" s="248" t="s">
        <v>84</v>
      </c>
      <c r="E10" s="281">
        <v>9</v>
      </c>
      <c r="F10" s="281">
        <v>2.6</v>
      </c>
      <c r="G10" s="281">
        <v>40</v>
      </c>
      <c r="H10" s="248" t="s">
        <v>155</v>
      </c>
      <c r="I10" s="248">
        <v>0</v>
      </c>
      <c r="J10" s="60">
        <v>4.4400000000000004</v>
      </c>
      <c r="K10" s="281">
        <v>15</v>
      </c>
      <c r="L10" s="492"/>
    </row>
    <row r="11" spans="2:12" ht="12.6" customHeight="1" x14ac:dyDescent="0.25">
      <c r="B11" s="60" t="s">
        <v>298</v>
      </c>
      <c r="D11" s="248" t="s">
        <v>84</v>
      </c>
      <c r="E11" s="281">
        <v>36</v>
      </c>
      <c r="F11" s="281">
        <v>13.01</v>
      </c>
      <c r="G11" s="281">
        <v>40</v>
      </c>
      <c r="H11" s="248" t="s">
        <v>155</v>
      </c>
      <c r="I11" s="248">
        <v>0</v>
      </c>
      <c r="J11" s="282">
        <f>+G11/E11</f>
        <v>1.1111111111111112</v>
      </c>
      <c r="K11" s="281">
        <v>50</v>
      </c>
      <c r="L11" s="492"/>
    </row>
    <row r="12" spans="2:12" ht="12.6" customHeight="1" x14ac:dyDescent="0.25">
      <c r="B12" s="60" t="s">
        <v>180</v>
      </c>
      <c r="D12" s="248" t="s">
        <v>179</v>
      </c>
      <c r="E12" s="281">
        <v>1.88</v>
      </c>
      <c r="F12" s="281">
        <v>0.92</v>
      </c>
      <c r="G12" s="281">
        <v>2.4</v>
      </c>
      <c r="H12" s="248" t="s">
        <v>155</v>
      </c>
      <c r="I12" s="248">
        <v>0</v>
      </c>
      <c r="J12" s="282">
        <f t="shared" si="0"/>
        <v>1.2765957446808511</v>
      </c>
      <c r="K12" s="281">
        <v>0.4</v>
      </c>
      <c r="L12" s="492"/>
    </row>
    <row r="13" spans="2:12" ht="12.6" customHeight="1" x14ac:dyDescent="0.25">
      <c r="B13" s="283" t="s">
        <v>321</v>
      </c>
      <c r="C13" s="283"/>
      <c r="D13" s="284" t="s">
        <v>179</v>
      </c>
      <c r="E13" s="285">
        <v>0.8</v>
      </c>
      <c r="F13" s="285">
        <v>0.39</v>
      </c>
      <c r="G13" s="285">
        <v>1.35</v>
      </c>
      <c r="H13" s="284" t="s">
        <v>155</v>
      </c>
      <c r="I13" s="284">
        <v>0</v>
      </c>
      <c r="J13" s="286">
        <f t="shared" si="0"/>
        <v>1.6875</v>
      </c>
      <c r="K13" s="285">
        <v>0.25</v>
      </c>
      <c r="L13" s="492"/>
    </row>
    <row r="14" spans="2:12" ht="12.6" customHeight="1" x14ac:dyDescent="0.25">
      <c r="B14" s="60" t="s">
        <v>181</v>
      </c>
      <c r="D14" s="248" t="s">
        <v>84</v>
      </c>
      <c r="E14" s="281">
        <v>8.3000000000000007</v>
      </c>
      <c r="F14" s="281">
        <v>3.45</v>
      </c>
      <c r="G14" s="281">
        <v>9</v>
      </c>
      <c r="H14" s="248" t="s">
        <v>155</v>
      </c>
      <c r="I14" s="248">
        <v>0</v>
      </c>
      <c r="J14" s="282">
        <f t="shared" si="0"/>
        <v>1.0843373493975903</v>
      </c>
      <c r="K14" s="281">
        <v>12</v>
      </c>
      <c r="L14" s="492"/>
    </row>
    <row r="15" spans="2:12" ht="12.6" customHeight="1" x14ac:dyDescent="0.25">
      <c r="B15" s="60" t="s">
        <v>182</v>
      </c>
      <c r="D15" s="248" t="s">
        <v>183</v>
      </c>
      <c r="E15" s="281">
        <v>31</v>
      </c>
      <c r="F15" s="281">
        <v>12.09</v>
      </c>
      <c r="G15" s="281">
        <v>50</v>
      </c>
      <c r="H15" s="248" t="s">
        <v>155</v>
      </c>
      <c r="I15" s="248">
        <v>0</v>
      </c>
      <c r="J15" s="282">
        <f t="shared" si="0"/>
        <v>1.6129032258064515</v>
      </c>
      <c r="K15" s="281">
        <v>25</v>
      </c>
      <c r="L15" s="492"/>
    </row>
    <row r="16" spans="2:12" ht="12.6" customHeight="1" x14ac:dyDescent="0.25">
      <c r="B16" s="60" t="s">
        <v>299</v>
      </c>
      <c r="D16" s="248" t="s">
        <v>300</v>
      </c>
      <c r="E16" s="281">
        <v>0</v>
      </c>
      <c r="F16" s="281">
        <v>0</v>
      </c>
      <c r="G16" s="281">
        <v>33</v>
      </c>
      <c r="H16" s="248" t="s">
        <v>155</v>
      </c>
      <c r="I16" s="248">
        <v>0</v>
      </c>
      <c r="J16" s="282" t="e">
        <f t="shared" si="0"/>
        <v>#DIV/0!</v>
      </c>
      <c r="K16" s="281">
        <v>0</v>
      </c>
      <c r="L16" s="492"/>
    </row>
    <row r="17" spans="2:12" ht="12.6" customHeight="1" x14ac:dyDescent="0.25">
      <c r="B17" s="60" t="s">
        <v>184</v>
      </c>
      <c r="D17" s="248" t="s">
        <v>185</v>
      </c>
      <c r="E17" s="281">
        <v>0</v>
      </c>
      <c r="F17" s="281">
        <v>0</v>
      </c>
      <c r="G17" s="281">
        <v>0</v>
      </c>
      <c r="H17" s="248" t="s">
        <v>155</v>
      </c>
      <c r="I17" s="248">
        <v>20</v>
      </c>
      <c r="J17" s="282" t="e">
        <f t="shared" si="0"/>
        <v>#DIV/0!</v>
      </c>
      <c r="K17" s="281">
        <v>0</v>
      </c>
      <c r="L17" s="492"/>
    </row>
    <row r="18" spans="2:12" ht="12.6" customHeight="1" x14ac:dyDescent="0.25">
      <c r="B18" s="60" t="s">
        <v>301</v>
      </c>
      <c r="D18" s="248" t="s">
        <v>84</v>
      </c>
      <c r="E18" s="281">
        <v>9.5</v>
      </c>
      <c r="F18" s="281">
        <v>3.6</v>
      </c>
      <c r="G18" s="281">
        <v>40</v>
      </c>
      <c r="H18" s="248" t="s">
        <v>155</v>
      </c>
      <c r="I18" s="248">
        <v>0</v>
      </c>
      <c r="J18" s="282">
        <f t="shared" si="0"/>
        <v>4.2105263157894735</v>
      </c>
      <c r="K18" s="281">
        <v>15</v>
      </c>
      <c r="L18" s="492"/>
    </row>
    <row r="19" spans="2:12" ht="12.6" customHeight="1" x14ac:dyDescent="0.25">
      <c r="B19" s="60" t="s">
        <v>302</v>
      </c>
      <c r="D19" s="248" t="s">
        <v>84</v>
      </c>
      <c r="E19" s="281">
        <v>38</v>
      </c>
      <c r="F19" s="281">
        <v>18</v>
      </c>
      <c r="G19" s="281">
        <v>40</v>
      </c>
      <c r="H19" s="248" t="s">
        <v>155</v>
      </c>
      <c r="I19" s="248">
        <v>0</v>
      </c>
      <c r="J19" s="282">
        <f>+G19/E19</f>
        <v>1.0526315789473684</v>
      </c>
      <c r="K19" s="281">
        <v>50</v>
      </c>
      <c r="L19" s="492"/>
    </row>
    <row r="20" spans="2:12" ht="12.6" customHeight="1" x14ac:dyDescent="0.25">
      <c r="B20" s="60" t="s">
        <v>186</v>
      </c>
      <c r="D20" s="248" t="s">
        <v>179</v>
      </c>
      <c r="E20" s="281">
        <v>2</v>
      </c>
      <c r="F20" s="281">
        <v>0.85</v>
      </c>
      <c r="G20" s="281">
        <v>2.5</v>
      </c>
      <c r="H20" s="248" t="s">
        <v>155</v>
      </c>
      <c r="I20" s="248">
        <v>0</v>
      </c>
      <c r="J20" s="282">
        <f t="shared" si="0"/>
        <v>1.25</v>
      </c>
      <c r="K20" s="281">
        <v>0.75</v>
      </c>
      <c r="L20" s="492"/>
    </row>
    <row r="21" spans="2:12" ht="12.6" customHeight="1" x14ac:dyDescent="0.25">
      <c r="B21" s="60" t="s">
        <v>322</v>
      </c>
      <c r="D21" s="248" t="s">
        <v>179</v>
      </c>
      <c r="E21" s="281">
        <v>0.84</v>
      </c>
      <c r="F21" s="281">
        <v>0.41</v>
      </c>
      <c r="G21" s="281">
        <v>1.25</v>
      </c>
      <c r="H21" s="248" t="s">
        <v>155</v>
      </c>
      <c r="I21" s="248">
        <v>0</v>
      </c>
      <c r="J21" s="282">
        <f t="shared" si="0"/>
        <v>1.4880952380952381</v>
      </c>
      <c r="K21" s="281">
        <v>0.2</v>
      </c>
      <c r="L21" s="492"/>
    </row>
    <row r="22" spans="2:12" ht="12.6" customHeight="1" x14ac:dyDescent="0.25">
      <c r="B22" s="60" t="s">
        <v>278</v>
      </c>
      <c r="D22" s="248" t="s">
        <v>179</v>
      </c>
      <c r="E22" s="281">
        <v>0.84</v>
      </c>
      <c r="F22" s="281">
        <v>0.41</v>
      </c>
      <c r="G22" s="281">
        <v>1.25</v>
      </c>
      <c r="H22" s="248" t="s">
        <v>155</v>
      </c>
      <c r="I22" s="248">
        <v>0</v>
      </c>
      <c r="J22" s="282">
        <f t="shared" si="0"/>
        <v>1.4880952380952381</v>
      </c>
      <c r="K22" s="281">
        <v>0.2</v>
      </c>
      <c r="L22" s="492"/>
    </row>
    <row r="23" spans="2:12" ht="12.6" customHeight="1" x14ac:dyDescent="0.25">
      <c r="B23" s="60" t="s">
        <v>303</v>
      </c>
      <c r="D23" s="248" t="s">
        <v>84</v>
      </c>
      <c r="E23" s="285">
        <v>2.1</v>
      </c>
      <c r="F23" s="285">
        <v>0.92</v>
      </c>
      <c r="G23" s="285">
        <v>33</v>
      </c>
      <c r="H23" s="248" t="s">
        <v>155</v>
      </c>
      <c r="I23" s="248">
        <v>0</v>
      </c>
      <c r="J23" s="282">
        <f t="shared" si="0"/>
        <v>15.714285714285714</v>
      </c>
      <c r="K23" s="285">
        <v>4</v>
      </c>
      <c r="L23" s="492"/>
    </row>
    <row r="24" spans="2:12" ht="12.6" customHeight="1" x14ac:dyDescent="0.25">
      <c r="B24" s="60" t="s">
        <v>304</v>
      </c>
      <c r="D24" s="248" t="s">
        <v>84</v>
      </c>
      <c r="E24" s="285">
        <v>8.25</v>
      </c>
      <c r="F24" s="285">
        <v>4.5999999999999996</v>
      </c>
      <c r="G24" s="285">
        <v>33</v>
      </c>
      <c r="H24" s="248" t="s">
        <v>155</v>
      </c>
      <c r="I24" s="248">
        <v>0</v>
      </c>
      <c r="J24" s="282">
        <f t="shared" si="0"/>
        <v>4</v>
      </c>
      <c r="K24" s="285">
        <v>15</v>
      </c>
      <c r="L24" s="492"/>
    </row>
    <row r="25" spans="2:12" ht="12.6" customHeight="1" x14ac:dyDescent="0.25">
      <c r="B25" s="60" t="s">
        <v>187</v>
      </c>
      <c r="D25" s="248" t="s">
        <v>179</v>
      </c>
      <c r="E25" s="281">
        <v>0.8</v>
      </c>
      <c r="F25" s="281">
        <v>0.25</v>
      </c>
      <c r="G25" s="281">
        <v>1.05</v>
      </c>
      <c r="H25" s="248" t="s">
        <v>155</v>
      </c>
      <c r="I25" s="248">
        <v>0</v>
      </c>
      <c r="J25" s="282">
        <f t="shared" si="0"/>
        <v>1.3125</v>
      </c>
      <c r="K25" s="281">
        <v>0.2</v>
      </c>
      <c r="L25" s="492"/>
    </row>
    <row r="26" spans="2:12" ht="12.6" customHeight="1" x14ac:dyDescent="0.25">
      <c r="B26" s="60" t="s">
        <v>188</v>
      </c>
      <c r="D26" s="248" t="s">
        <v>189</v>
      </c>
      <c r="E26" s="281">
        <v>0.35</v>
      </c>
      <c r="F26" s="281">
        <v>0.16</v>
      </c>
      <c r="G26" s="281">
        <v>0.6</v>
      </c>
      <c r="H26" s="248" t="s">
        <v>155</v>
      </c>
      <c r="I26" s="248">
        <v>0</v>
      </c>
      <c r="J26" s="282">
        <f t="shared" si="0"/>
        <v>1.7142857142857144</v>
      </c>
      <c r="K26" s="281">
        <v>0.56000000000000005</v>
      </c>
      <c r="L26" s="492"/>
    </row>
    <row r="27" spans="2:12" ht="12.6" customHeight="1" x14ac:dyDescent="0.25">
      <c r="B27" s="60" t="s">
        <v>190</v>
      </c>
      <c r="D27" s="248" t="s">
        <v>84</v>
      </c>
      <c r="E27" s="281">
        <v>40</v>
      </c>
      <c r="F27" s="281">
        <v>10.08</v>
      </c>
      <c r="G27" s="281">
        <v>70</v>
      </c>
      <c r="H27" s="248" t="s">
        <v>146</v>
      </c>
      <c r="I27" s="248">
        <v>50</v>
      </c>
      <c r="J27" s="282">
        <f t="shared" si="0"/>
        <v>1.75</v>
      </c>
      <c r="K27" s="281">
        <v>50</v>
      </c>
      <c r="L27" s="492"/>
    </row>
    <row r="28" spans="2:12" ht="12.6" customHeight="1" x14ac:dyDescent="0.25">
      <c r="B28" s="60" t="s">
        <v>323</v>
      </c>
      <c r="D28" s="248" t="s">
        <v>179</v>
      </c>
      <c r="E28" s="281">
        <v>1.17</v>
      </c>
      <c r="F28" s="281">
        <v>0.34</v>
      </c>
      <c r="G28" s="281">
        <v>1.75</v>
      </c>
      <c r="H28" s="248" t="s">
        <v>155</v>
      </c>
      <c r="I28" s="248">
        <v>0</v>
      </c>
      <c r="J28" s="282">
        <f t="shared" si="0"/>
        <v>1.4957264957264957</v>
      </c>
      <c r="K28" s="281">
        <v>0.3</v>
      </c>
      <c r="L28" s="492"/>
    </row>
    <row r="29" spans="2:12" ht="12.6" customHeight="1" x14ac:dyDescent="0.25">
      <c r="B29" s="60" t="s">
        <v>305</v>
      </c>
      <c r="D29" s="248" t="s">
        <v>84</v>
      </c>
      <c r="E29" s="281">
        <v>3</v>
      </c>
      <c r="F29" s="281">
        <v>1</v>
      </c>
      <c r="G29" s="281">
        <v>19.5</v>
      </c>
      <c r="H29" s="248" t="s">
        <v>155</v>
      </c>
      <c r="I29" s="248">
        <v>0</v>
      </c>
      <c r="J29" s="282">
        <f t="shared" si="0"/>
        <v>6.5</v>
      </c>
      <c r="K29" s="281">
        <v>2.5</v>
      </c>
      <c r="L29" s="492"/>
    </row>
    <row r="30" spans="2:12" ht="12.6" customHeight="1" x14ac:dyDescent="0.25">
      <c r="B30" s="60" t="s">
        <v>191</v>
      </c>
      <c r="D30" s="248" t="s">
        <v>84</v>
      </c>
      <c r="E30" s="281">
        <v>8.3000000000000007</v>
      </c>
      <c r="F30" s="281">
        <v>3.45</v>
      </c>
      <c r="G30" s="281">
        <v>9</v>
      </c>
      <c r="H30" s="248" t="s">
        <v>155</v>
      </c>
      <c r="I30" s="248">
        <v>0</v>
      </c>
      <c r="J30" s="282">
        <f t="shared" si="0"/>
        <v>1.0843373493975903</v>
      </c>
      <c r="K30" s="281">
        <v>12</v>
      </c>
      <c r="L30" s="492"/>
    </row>
    <row r="31" spans="2:12" ht="12.6" customHeight="1" x14ac:dyDescent="0.25">
      <c r="B31" s="60" t="s">
        <v>192</v>
      </c>
      <c r="D31" s="248" t="s">
        <v>179</v>
      </c>
      <c r="E31" s="281">
        <v>4</v>
      </c>
      <c r="F31" s="281">
        <v>0.8</v>
      </c>
      <c r="G31" s="281">
        <v>5.7</v>
      </c>
      <c r="H31" s="248" t="s">
        <v>146</v>
      </c>
      <c r="I31" s="248">
        <v>30</v>
      </c>
      <c r="J31" s="282">
        <f t="shared" si="0"/>
        <v>1.425</v>
      </c>
      <c r="K31" s="281">
        <v>1.4</v>
      </c>
      <c r="L31" s="492"/>
    </row>
    <row r="32" spans="2:12" ht="12.6" customHeight="1" x14ac:dyDescent="0.25">
      <c r="B32" s="60" t="s">
        <v>280</v>
      </c>
      <c r="D32" s="248" t="s">
        <v>84</v>
      </c>
      <c r="E32" s="281">
        <v>40</v>
      </c>
      <c r="F32" s="281">
        <v>15</v>
      </c>
      <c r="G32" s="285">
        <v>30</v>
      </c>
      <c r="H32" s="248" t="s">
        <v>155</v>
      </c>
      <c r="I32" s="248">
        <v>0</v>
      </c>
      <c r="J32" s="282">
        <f t="shared" si="0"/>
        <v>0.75</v>
      </c>
      <c r="K32" s="281">
        <v>50</v>
      </c>
      <c r="L32" s="492"/>
    </row>
    <row r="33" spans="2:12" ht="12.6" customHeight="1" x14ac:dyDescent="0.25">
      <c r="B33" s="60" t="s">
        <v>193</v>
      </c>
      <c r="D33" s="248" t="s">
        <v>84</v>
      </c>
      <c r="E33" s="281">
        <v>4.2</v>
      </c>
      <c r="F33" s="281">
        <v>1.49</v>
      </c>
      <c r="G33" s="281">
        <v>8</v>
      </c>
      <c r="H33" s="248" t="s">
        <v>155</v>
      </c>
      <c r="I33" s="248">
        <v>0</v>
      </c>
      <c r="J33" s="282">
        <f t="shared" si="0"/>
        <v>1.9047619047619047</v>
      </c>
      <c r="K33" s="281">
        <v>10</v>
      </c>
      <c r="L33" s="492"/>
    </row>
    <row r="34" spans="2:12" ht="12.6" customHeight="1" x14ac:dyDescent="0.25">
      <c r="B34" s="60" t="s">
        <v>194</v>
      </c>
      <c r="D34" s="248" t="s">
        <v>189</v>
      </c>
      <c r="E34" s="281">
        <v>3.6</v>
      </c>
      <c r="F34" s="281">
        <v>1.69</v>
      </c>
      <c r="G34" s="281">
        <v>5</v>
      </c>
      <c r="H34" s="248" t="s">
        <v>155</v>
      </c>
      <c r="I34" s="248">
        <v>0</v>
      </c>
      <c r="J34" s="282">
        <f t="shared" si="0"/>
        <v>1.3888888888888888</v>
      </c>
      <c r="K34" s="281">
        <v>1.1000000000000001</v>
      </c>
      <c r="L34" s="492"/>
    </row>
    <row r="35" spans="2:12" ht="12.6" customHeight="1" x14ac:dyDescent="0.25">
      <c r="B35" s="60" t="s">
        <v>195</v>
      </c>
      <c r="D35" s="248" t="s">
        <v>179</v>
      </c>
      <c r="E35" s="281">
        <v>1.17</v>
      </c>
      <c r="F35" s="281">
        <v>0.34</v>
      </c>
      <c r="G35" s="281">
        <v>1.75</v>
      </c>
      <c r="H35" s="248" t="s">
        <v>155</v>
      </c>
      <c r="I35" s="248">
        <v>0</v>
      </c>
      <c r="J35" s="282">
        <f t="shared" si="0"/>
        <v>1.4957264957264957</v>
      </c>
      <c r="K35" s="281">
        <v>0.25</v>
      </c>
      <c r="L35" s="492"/>
    </row>
    <row r="36" spans="2:12" ht="12.6" customHeight="1" x14ac:dyDescent="0.25">
      <c r="B36" s="283" t="s">
        <v>59</v>
      </c>
      <c r="C36" s="283"/>
      <c r="D36" s="284" t="s">
        <v>179</v>
      </c>
      <c r="E36" s="285">
        <v>1.4</v>
      </c>
      <c r="F36" s="285">
        <v>0.5</v>
      </c>
      <c r="G36" s="285">
        <v>1.75</v>
      </c>
      <c r="H36" s="284" t="s">
        <v>155</v>
      </c>
      <c r="I36" s="284">
        <v>0</v>
      </c>
      <c r="J36" s="286">
        <f t="shared" si="0"/>
        <v>1.25</v>
      </c>
      <c r="K36" s="285">
        <v>0.33</v>
      </c>
      <c r="L36" s="492"/>
    </row>
    <row r="37" spans="2:12" ht="12.6" customHeight="1" x14ac:dyDescent="0.25">
      <c r="B37" s="60" t="s">
        <v>306</v>
      </c>
      <c r="D37" s="248" t="s">
        <v>179</v>
      </c>
      <c r="E37" s="281">
        <v>1.68</v>
      </c>
      <c r="F37" s="281">
        <v>0.55000000000000004</v>
      </c>
      <c r="G37" s="281">
        <v>2.1</v>
      </c>
      <c r="H37" s="248" t="s">
        <v>155</v>
      </c>
      <c r="I37" s="248">
        <v>0</v>
      </c>
      <c r="J37" s="282">
        <f t="shared" si="0"/>
        <v>1.25</v>
      </c>
      <c r="K37" s="281">
        <v>0.4</v>
      </c>
      <c r="L37" s="492"/>
    </row>
    <row r="38" spans="2:12" ht="12.6" customHeight="1" x14ac:dyDescent="0.25">
      <c r="B38" s="60" t="s">
        <v>307</v>
      </c>
      <c r="D38" s="248" t="s">
        <v>179</v>
      </c>
      <c r="E38" s="281">
        <v>1.9</v>
      </c>
      <c r="F38" s="281">
        <v>0.6</v>
      </c>
      <c r="G38" s="281">
        <v>1.75</v>
      </c>
      <c r="H38" s="248" t="s">
        <v>155</v>
      </c>
      <c r="I38" s="248">
        <v>0</v>
      </c>
      <c r="J38" s="282">
        <f t="shared" si="0"/>
        <v>0.92105263157894746</v>
      </c>
      <c r="K38" s="281">
        <v>2</v>
      </c>
      <c r="L38" s="492"/>
    </row>
    <row r="39" spans="2:12" ht="12.6" customHeight="1" x14ac:dyDescent="0.25">
      <c r="B39" s="60" t="s">
        <v>308</v>
      </c>
      <c r="D39" s="248" t="s">
        <v>84</v>
      </c>
      <c r="E39" s="281">
        <v>3</v>
      </c>
      <c r="F39" s="281">
        <v>1</v>
      </c>
      <c r="G39" s="281">
        <v>19.5</v>
      </c>
      <c r="H39" s="248" t="s">
        <v>155</v>
      </c>
      <c r="I39" s="248">
        <v>0</v>
      </c>
      <c r="J39" s="282">
        <f t="shared" si="0"/>
        <v>6.5</v>
      </c>
      <c r="K39" s="281">
        <v>0.6</v>
      </c>
      <c r="L39" s="492"/>
    </row>
    <row r="40" spans="2:12" ht="12.6" customHeight="1" x14ac:dyDescent="0.25">
      <c r="B40" s="60" t="s">
        <v>196</v>
      </c>
      <c r="D40" s="248" t="s">
        <v>84</v>
      </c>
      <c r="E40" s="281">
        <v>36</v>
      </c>
      <c r="F40" s="281">
        <v>13.01</v>
      </c>
      <c r="G40" s="281">
        <v>40</v>
      </c>
      <c r="H40" s="248" t="s">
        <v>155</v>
      </c>
      <c r="I40" s="248">
        <v>0</v>
      </c>
      <c r="J40" s="282">
        <f t="shared" si="0"/>
        <v>1.1111111111111112</v>
      </c>
      <c r="K40" s="281">
        <v>50</v>
      </c>
      <c r="L40" s="492"/>
    </row>
    <row r="41" spans="2:12" ht="12.6" customHeight="1" x14ac:dyDescent="0.25">
      <c r="B41" s="278" t="s">
        <v>309</v>
      </c>
      <c r="C41" s="278"/>
      <c r="D41" s="279" t="s">
        <v>84</v>
      </c>
      <c r="E41" s="287">
        <v>11.2</v>
      </c>
      <c r="F41" s="287">
        <v>4</v>
      </c>
      <c r="G41" s="287">
        <v>14</v>
      </c>
      <c r="H41" s="279" t="s">
        <v>155</v>
      </c>
      <c r="I41" s="279">
        <v>0</v>
      </c>
      <c r="J41" s="288">
        <f t="shared" si="0"/>
        <v>1.25</v>
      </c>
      <c r="K41" s="287">
        <v>15</v>
      </c>
      <c r="L41" s="492"/>
    </row>
    <row r="45" spans="2:12" ht="13.2" x14ac:dyDescent="0.25"/>
    <row r="55" ht="13.2" x14ac:dyDescent="0.25"/>
  </sheetData>
  <sheetProtection password="C0DF" sheet="1" objects="1" scenarios="1" selectLockedCells="1"/>
  <protectedRanges>
    <protectedRange sqref="E1:L1 L5:L41" name="Range1"/>
  </protectedRanges>
  <mergeCells count="1">
    <mergeCell ref="E1:L1"/>
  </mergeCells>
  <phoneticPr fontId="0" type="noConversion"/>
  <printOptions horizontalCentered="1"/>
  <pageMargins left="0.67" right="0.54" top="0.6" bottom="0.73" header="0.54" footer="0.5"/>
  <pageSetup scale="99" orientation="landscape" r:id="rId1"/>
  <headerFooter alignWithMargins="0">
    <oddFooter>&amp;L&amp;8File: &amp;F    Tab: &amp;A&amp;R&amp;8NUP version 3.5 revised April, 2010;    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34"/>
    <pageSetUpPr fitToPage="1"/>
  </sheetPr>
  <dimension ref="B2:I31"/>
  <sheetViews>
    <sheetView zoomScale="87" zoomScaleNormal="87" workbookViewId="0">
      <selection activeCell="F19" sqref="F19:F20"/>
    </sheetView>
  </sheetViews>
  <sheetFormatPr defaultColWidth="7.08984375" defaultRowHeight="13.2" x14ac:dyDescent="0.25"/>
  <cols>
    <col min="1" max="1" width="6.54296875" style="519" customWidth="1"/>
    <col min="2" max="2" width="20.08984375" style="519" customWidth="1"/>
    <col min="3" max="3" width="14.1796875" style="519" customWidth="1"/>
    <col min="4" max="8" width="13.81640625" style="519" customWidth="1"/>
    <col min="9" max="16384" width="7.08984375" style="519"/>
  </cols>
  <sheetData>
    <row r="2" spans="2:9" ht="21" x14ac:dyDescent="0.4">
      <c r="B2" s="604" t="s">
        <v>537</v>
      </c>
      <c r="C2" s="604"/>
      <c r="D2" s="604"/>
      <c r="E2" s="604"/>
      <c r="F2" s="604"/>
      <c r="G2" s="604"/>
      <c r="H2" s="604"/>
    </row>
    <row r="3" spans="2:9" ht="15" customHeight="1" thickBot="1" x14ac:dyDescent="0.45">
      <c r="B3" s="520"/>
      <c r="F3" s="521"/>
    </row>
    <row r="4" spans="2:9" ht="20.100000000000001" customHeight="1" thickTop="1" thickBot="1" x14ac:dyDescent="0.35">
      <c r="B4" s="522" t="s">
        <v>28</v>
      </c>
      <c r="C4" s="611">
        <f>Input!D5</f>
        <v>0</v>
      </c>
      <c r="D4" s="611"/>
      <c r="E4" s="611"/>
      <c r="F4" s="523" t="s">
        <v>494</v>
      </c>
      <c r="G4" s="602" t="s">
        <v>495</v>
      </c>
      <c r="H4" s="603"/>
    </row>
    <row r="5" spans="2:9" ht="20.100000000000001" customHeight="1" x14ac:dyDescent="0.3">
      <c r="C5" s="525"/>
      <c r="D5" s="525"/>
      <c r="E5" s="525"/>
      <c r="F5" s="526" t="s">
        <v>496</v>
      </c>
      <c r="G5" s="527" t="s">
        <v>497</v>
      </c>
      <c r="H5" s="493"/>
    </row>
    <row r="6" spans="2:9" ht="20.100000000000001" customHeight="1" thickBot="1" x14ac:dyDescent="0.35">
      <c r="B6" s="522" t="s">
        <v>29</v>
      </c>
      <c r="C6" s="528">
        <f>Input!D14</f>
        <v>0</v>
      </c>
      <c r="D6" s="529" t="s">
        <v>228</v>
      </c>
      <c r="E6" s="530">
        <f>Input!L2</f>
        <v>0</v>
      </c>
      <c r="F6" s="531"/>
      <c r="G6" s="532" t="s">
        <v>498</v>
      </c>
      <c r="H6" s="494"/>
    </row>
    <row r="7" spans="2:9" ht="20.100000000000001" customHeight="1" x14ac:dyDescent="0.3">
      <c r="F7" s="533"/>
      <c r="G7" s="532" t="s">
        <v>499</v>
      </c>
      <c r="H7" s="494"/>
    </row>
    <row r="8" spans="2:9" ht="20.100000000000001" customHeight="1" x14ac:dyDescent="0.3">
      <c r="C8" s="534" t="s">
        <v>500</v>
      </c>
      <c r="D8" s="535"/>
      <c r="F8" s="533"/>
      <c r="G8" s="532" t="s">
        <v>501</v>
      </c>
      <c r="H8" s="494"/>
    </row>
    <row r="9" spans="2:9" ht="20.100000000000001" customHeight="1" x14ac:dyDescent="0.3">
      <c r="B9" s="522"/>
      <c r="C9" s="534" t="s">
        <v>538</v>
      </c>
      <c r="D9" s="535"/>
      <c r="E9" s="535"/>
      <c r="G9" s="536" t="s">
        <v>502</v>
      </c>
      <c r="H9" s="495"/>
    </row>
    <row r="10" spans="2:9" ht="20.100000000000001" customHeight="1" thickBot="1" x14ac:dyDescent="0.35">
      <c r="B10" s="537"/>
      <c r="C10" s="534" t="s">
        <v>503</v>
      </c>
      <c r="D10" s="535"/>
      <c r="E10" s="535"/>
      <c r="G10" s="538" t="s">
        <v>504</v>
      </c>
      <c r="H10" s="496"/>
    </row>
    <row r="11" spans="2:9" ht="20.100000000000001" customHeight="1" thickTop="1" thickBot="1" x14ac:dyDescent="0.35">
      <c r="B11" s="609" t="s">
        <v>534</v>
      </c>
      <c r="C11" s="610"/>
      <c r="D11" s="497"/>
      <c r="E11" s="498"/>
      <c r="F11" s="539" t="s">
        <v>30</v>
      </c>
      <c r="H11" s="540"/>
    </row>
    <row r="12" spans="2:9" ht="20.100000000000001" customHeight="1" thickBot="1" x14ac:dyDescent="0.35">
      <c r="B12" s="541"/>
      <c r="C12" s="542"/>
      <c r="D12" s="543"/>
      <c r="E12" s="499"/>
      <c r="F12" s="544" t="s">
        <v>505</v>
      </c>
      <c r="G12" s="600" t="s">
        <v>506</v>
      </c>
      <c r="H12" s="601"/>
    </row>
    <row r="13" spans="2:9" ht="20.100000000000001" customHeight="1" thickTop="1" x14ac:dyDescent="0.3">
      <c r="B13" s="537"/>
      <c r="C13" s="534" t="s">
        <v>507</v>
      </c>
      <c r="G13" s="545" t="s">
        <v>508</v>
      </c>
      <c r="H13" s="500"/>
    </row>
    <row r="14" spans="2:9" ht="20.100000000000001" customHeight="1" thickBot="1" x14ac:dyDescent="0.35">
      <c r="D14" s="535" t="s">
        <v>535</v>
      </c>
      <c r="E14" s="535"/>
      <c r="G14" s="546" t="s">
        <v>509</v>
      </c>
      <c r="H14" s="501"/>
    </row>
    <row r="15" spans="2:9" ht="20.100000000000001" customHeight="1" thickTop="1" thickBot="1" x14ac:dyDescent="0.35">
      <c r="B15" s="524" t="s">
        <v>510</v>
      </c>
      <c r="C15" s="547" t="s">
        <v>340</v>
      </c>
      <c r="D15" s="502">
        <v>2000</v>
      </c>
      <c r="E15" s="548">
        <f>+D15+1</f>
        <v>2001</v>
      </c>
      <c r="F15" s="548">
        <f>+E15+1</f>
        <v>2002</v>
      </c>
      <c r="G15" s="548">
        <f>+F15+1</f>
        <v>2003</v>
      </c>
      <c r="H15" s="549">
        <f>+G15+1</f>
        <v>2004</v>
      </c>
      <c r="I15" s="550"/>
    </row>
    <row r="16" spans="2:9" ht="20.100000000000001" customHeight="1" x14ac:dyDescent="0.3">
      <c r="B16" s="503"/>
      <c r="C16" s="504"/>
      <c r="D16" s="505"/>
      <c r="E16" s="506"/>
      <c r="F16" s="506"/>
      <c r="G16" s="506"/>
      <c r="H16" s="507"/>
      <c r="I16" s="550"/>
    </row>
    <row r="17" spans="2:9" ht="20.100000000000001" customHeight="1" x14ac:dyDescent="0.3">
      <c r="B17" s="508"/>
      <c r="C17" s="509"/>
      <c r="D17" s="510"/>
      <c r="E17" s="511"/>
      <c r="F17" s="511"/>
      <c r="G17" s="511"/>
      <c r="H17" s="512"/>
      <c r="I17" s="550"/>
    </row>
    <row r="18" spans="2:9" ht="20.100000000000001" customHeight="1" x14ac:dyDescent="0.3">
      <c r="B18" s="508"/>
      <c r="C18" s="509"/>
      <c r="D18" s="510"/>
      <c r="E18" s="511"/>
      <c r="F18" s="511"/>
      <c r="G18" s="511"/>
      <c r="H18" s="512"/>
      <c r="I18" s="550"/>
    </row>
    <row r="19" spans="2:9" ht="20.100000000000001" customHeight="1" x14ac:dyDescent="0.25">
      <c r="B19" s="513"/>
      <c r="C19" s="509"/>
      <c r="D19" s="510"/>
      <c r="E19" s="511"/>
      <c r="F19" s="511"/>
      <c r="G19" s="511"/>
      <c r="H19" s="512"/>
      <c r="I19" s="550"/>
    </row>
    <row r="20" spans="2:9" ht="20.100000000000001" customHeight="1" x14ac:dyDescent="0.25">
      <c r="B20" s="513"/>
      <c r="C20" s="509"/>
      <c r="D20" s="510"/>
      <c r="E20" s="511"/>
      <c r="F20" s="511"/>
      <c r="G20" s="511"/>
      <c r="H20" s="512"/>
      <c r="I20" s="550"/>
    </row>
    <row r="21" spans="2:9" ht="20.100000000000001" customHeight="1" x14ac:dyDescent="0.3">
      <c r="B21" s="508"/>
      <c r="C21" s="509"/>
      <c r="D21" s="510"/>
      <c r="E21" s="511"/>
      <c r="F21" s="511"/>
      <c r="G21" s="511"/>
      <c r="H21" s="512"/>
      <c r="I21" s="550"/>
    </row>
    <row r="22" spans="2:9" ht="20.100000000000001" customHeight="1" x14ac:dyDescent="0.3">
      <c r="B22" s="508"/>
      <c r="C22" s="509"/>
      <c r="D22" s="510"/>
      <c r="E22" s="511"/>
      <c r="F22" s="511"/>
      <c r="G22" s="511"/>
      <c r="H22" s="512"/>
      <c r="I22" s="550"/>
    </row>
    <row r="23" spans="2:9" ht="20.100000000000001" customHeight="1" x14ac:dyDescent="0.3">
      <c r="B23" s="508"/>
      <c r="C23" s="509"/>
      <c r="D23" s="510"/>
      <c r="E23" s="511"/>
      <c r="F23" s="511"/>
      <c r="G23" s="511"/>
      <c r="H23" s="512"/>
      <c r="I23" s="550"/>
    </row>
    <row r="24" spans="2:9" ht="20.100000000000001" customHeight="1" x14ac:dyDescent="0.3">
      <c r="B24" s="508"/>
      <c r="C24" s="509"/>
      <c r="D24" s="510"/>
      <c r="E24" s="511"/>
      <c r="F24" s="511"/>
      <c r="G24" s="511"/>
      <c r="H24" s="512"/>
      <c r="I24" s="550"/>
    </row>
    <row r="25" spans="2:9" ht="20.100000000000001" customHeight="1" thickBot="1" x14ac:dyDescent="0.35">
      <c r="B25" s="514"/>
      <c r="C25" s="515"/>
      <c r="D25" s="516"/>
      <c r="E25" s="517"/>
      <c r="F25" s="517"/>
      <c r="G25" s="517"/>
      <c r="H25" s="518"/>
      <c r="I25" s="550"/>
    </row>
    <row r="26" spans="2:9" ht="24.9" customHeight="1" thickBot="1" x14ac:dyDescent="0.35">
      <c r="B26" s="551" t="s">
        <v>511</v>
      </c>
      <c r="C26" s="552">
        <f t="shared" ref="C26:H26" si="0">SUM(C16:C25)</f>
        <v>0</v>
      </c>
      <c r="D26" s="553">
        <f t="shared" si="0"/>
        <v>0</v>
      </c>
      <c r="E26" s="553">
        <f t="shared" si="0"/>
        <v>0</v>
      </c>
      <c r="F26" s="553">
        <f t="shared" si="0"/>
        <v>0</v>
      </c>
      <c r="G26" s="553">
        <f t="shared" si="0"/>
        <v>0</v>
      </c>
      <c r="H26" s="554">
        <f t="shared" si="0"/>
        <v>0</v>
      </c>
      <c r="I26" s="550"/>
    </row>
    <row r="27" spans="2:9" ht="24.9" customHeight="1" thickBot="1" x14ac:dyDescent="0.35">
      <c r="B27" s="607" t="s">
        <v>536</v>
      </c>
      <c r="C27" s="608"/>
      <c r="D27" s="555">
        <f>+$D$11</f>
        <v>0</v>
      </c>
      <c r="E27" s="555">
        <f>+$D$11</f>
        <v>0</v>
      </c>
      <c r="F27" s="555">
        <f>+$D$11</f>
        <v>0</v>
      </c>
      <c r="G27" s="555">
        <f>+$D$11</f>
        <v>0</v>
      </c>
      <c r="H27" s="556">
        <f>+$D$11</f>
        <v>0</v>
      </c>
      <c r="I27" s="550"/>
    </row>
    <row r="28" spans="2:9" ht="24.9" customHeight="1" thickBot="1" x14ac:dyDescent="0.35">
      <c r="B28" s="605" t="s">
        <v>512</v>
      </c>
      <c r="C28" s="606"/>
      <c r="D28" s="557">
        <f>+D26-D27</f>
        <v>0</v>
      </c>
      <c r="E28" s="558">
        <f>+E26-E27</f>
        <v>0</v>
      </c>
      <c r="F28" s="559">
        <f>+F26-F27</f>
        <v>0</v>
      </c>
      <c r="G28" s="559">
        <f>+G26-G27</f>
        <v>0</v>
      </c>
      <c r="H28" s="560">
        <f>+H26-H27</f>
        <v>0</v>
      </c>
      <c r="I28" s="550"/>
    </row>
    <row r="29" spans="2:9" ht="15.6" thickTop="1" x14ac:dyDescent="0.25">
      <c r="B29" s="550"/>
      <c r="C29" s="550"/>
      <c r="D29" s="550"/>
      <c r="E29" s="550"/>
      <c r="F29" s="550"/>
      <c r="G29" s="550"/>
      <c r="H29" s="550"/>
      <c r="I29" s="550"/>
    </row>
    <row r="30" spans="2:9" ht="15" x14ac:dyDescent="0.25">
      <c r="B30" s="550"/>
      <c r="C30" s="550"/>
      <c r="D30" s="550"/>
      <c r="E30" s="550"/>
      <c r="F30" s="550"/>
      <c r="G30" s="550"/>
      <c r="H30" s="550"/>
      <c r="I30" s="550"/>
    </row>
    <row r="31" spans="2:9" ht="15" x14ac:dyDescent="0.25">
      <c r="B31" s="550"/>
      <c r="C31" s="550"/>
      <c r="D31" s="550"/>
      <c r="E31" s="550"/>
      <c r="F31" s="550"/>
      <c r="G31" s="550"/>
      <c r="H31" s="550"/>
      <c r="I31" s="550"/>
    </row>
  </sheetData>
  <sheetProtection password="C0DF" sheet="1" objects="1" scenarios="1" selectLockedCells="1"/>
  <protectedRanges>
    <protectedRange sqref="H5:H10 H13:H14 D11:E12 D15 B16:H25" name="Range1"/>
  </protectedRanges>
  <mergeCells count="7">
    <mergeCell ref="G12:H12"/>
    <mergeCell ref="G4:H4"/>
    <mergeCell ref="B2:H2"/>
    <mergeCell ref="B28:C28"/>
    <mergeCell ref="B27:C27"/>
    <mergeCell ref="B11:C11"/>
    <mergeCell ref="C4:E4"/>
  </mergeCells>
  <phoneticPr fontId="19" type="noConversion"/>
  <printOptions horizontalCentered="1"/>
  <pageMargins left="0.67" right="0.54" top="0.6" bottom="0.73" header="0.54" footer="0.5"/>
  <pageSetup scale="95" orientation="landscape" horizontalDpi="360" r:id="rId1"/>
  <headerFooter alignWithMargins="0">
    <oddFooter>&amp;L&amp;8File: &amp;F    Tab: &amp;A&amp;R&amp;8NUP version 3.5 revised April, 2010;    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28"/>
  <sheetViews>
    <sheetView workbookViewId="0"/>
  </sheetViews>
  <sheetFormatPr defaultColWidth="8.90625" defaultRowHeight="15" x14ac:dyDescent="0.25"/>
  <cols>
    <col min="1" max="1" width="6.6328125" style="239" customWidth="1"/>
    <col min="2" max="2" width="23.6328125" style="239" customWidth="1"/>
    <col min="3" max="3" width="11" style="239" customWidth="1"/>
    <col min="4" max="4" width="12.6328125" style="239" customWidth="1"/>
    <col min="5" max="5" width="11.90625" style="239" customWidth="1"/>
    <col min="6" max="6" width="11.6328125" style="239" customWidth="1"/>
    <col min="7" max="7" width="10.54296875" style="239" bestFit="1" customWidth="1"/>
    <col min="8" max="8" width="12.453125" style="239" customWidth="1"/>
    <col min="9" max="16384" width="8.90625" style="239"/>
  </cols>
  <sheetData>
    <row r="2" spans="1:10" ht="15.6" x14ac:dyDescent="0.3">
      <c r="A2" s="239" t="s">
        <v>519</v>
      </c>
      <c r="G2" s="240" t="s">
        <v>520</v>
      </c>
    </row>
    <row r="3" spans="1:10" ht="15.6" x14ac:dyDescent="0.3">
      <c r="A3" s="56"/>
      <c r="B3" s="56"/>
      <c r="C3" s="56"/>
      <c r="D3" s="56" t="s">
        <v>54</v>
      </c>
      <c r="E3" s="56" t="s">
        <v>518</v>
      </c>
      <c r="F3" s="56"/>
      <c r="G3" s="240" t="s">
        <v>521</v>
      </c>
      <c r="H3" s="56"/>
    </row>
    <row r="4" spans="1:10" ht="15.6" x14ac:dyDescent="0.3">
      <c r="A4" s="241" t="s">
        <v>514</v>
      </c>
      <c r="B4" s="241" t="s">
        <v>54</v>
      </c>
      <c r="C4" s="241" t="s">
        <v>122</v>
      </c>
      <c r="D4" s="56" t="s">
        <v>515</v>
      </c>
      <c r="E4" s="56" t="s">
        <v>516</v>
      </c>
      <c r="F4" s="56" t="s">
        <v>517</v>
      </c>
      <c r="G4" s="240" t="s">
        <v>269</v>
      </c>
      <c r="H4" s="56"/>
    </row>
    <row r="5" spans="1:10" x14ac:dyDescent="0.25">
      <c r="G5" s="242"/>
    </row>
    <row r="6" spans="1:10" x14ac:dyDescent="0.25">
      <c r="A6" s="239">
        <f>+Input!$K$8</f>
        <v>2001</v>
      </c>
      <c r="B6" s="239">
        <f>+Input!$L$8</f>
        <v>0</v>
      </c>
      <c r="C6" s="243">
        <f>+Input!$M$8</f>
        <v>0</v>
      </c>
      <c r="D6" s="239" t="e">
        <f>VLOOKUP(B6,Removal!$B$5:K$41,6)*C6</f>
        <v>#N/A</v>
      </c>
      <c r="E6" s="244">
        <f>IF(+SM_Analysis!G21+SM_Analysis!F21&lt;0,0,+SM_Analysis!G21+SM_Analysis!F21)</f>
        <v>0</v>
      </c>
      <c r="F6" s="239" t="e">
        <f>VLOOKUP(B6,Removal!$B$5:$K$41,4)*C6</f>
        <v>#N/A</v>
      </c>
      <c r="G6" s="245" t="e">
        <f>IF((E6&lt;D6),+D6-E6,0)</f>
        <v>#N/A</v>
      </c>
    </row>
    <row r="7" spans="1:10" x14ac:dyDescent="0.25">
      <c r="A7" s="239">
        <f>+Input!$K$9</f>
        <v>2002</v>
      </c>
      <c r="B7" s="239">
        <f>+Input!$L$9</f>
        <v>0</v>
      </c>
      <c r="C7" s="243">
        <f>+Input!$M$9</f>
        <v>0</v>
      </c>
      <c r="D7" s="239" t="e">
        <f>VLOOKUP(B7,Removal!$B$5:K$41,6)*C7</f>
        <v>#N/A</v>
      </c>
      <c r="E7" s="244" t="e">
        <f>IF(+E6-F6+Worksheet!Q22&lt;0,0,+E6-F6+Worksheet!Q22)</f>
        <v>#N/A</v>
      </c>
      <c r="F7" s="239" t="e">
        <f>VLOOKUP(B7,Removal!$B$5:$K$41,4)*C7</f>
        <v>#N/A</v>
      </c>
      <c r="G7" s="245" t="e">
        <f>IF((E7&lt;D7),+D7-E7,0)</f>
        <v>#N/A</v>
      </c>
    </row>
    <row r="8" spans="1:10" x14ac:dyDescent="0.25">
      <c r="A8" s="239">
        <f>+Input!$K$10</f>
        <v>2003</v>
      </c>
      <c r="B8" s="239">
        <f>+Input!$L$10</f>
        <v>0</v>
      </c>
      <c r="C8" s="243">
        <f>+Input!$M$10</f>
        <v>0</v>
      </c>
      <c r="D8" s="239" t="e">
        <f>VLOOKUP(B8,Removal!$B$5:K$41,6)*C8</f>
        <v>#N/A</v>
      </c>
      <c r="E8" s="244" t="e">
        <f>IF(+E7-F7+Worksheet!Q23&lt;0,0,+E7-F7+Worksheet!Q23)</f>
        <v>#N/A</v>
      </c>
      <c r="F8" s="239" t="e">
        <f>VLOOKUP(B8,Removal!$B$5:$K$41,4)*C8</f>
        <v>#N/A</v>
      </c>
      <c r="G8" s="245" t="e">
        <f>IF((E8&lt;D8),+D8-E8,0)</f>
        <v>#N/A</v>
      </c>
    </row>
    <row r="9" spans="1:10" x14ac:dyDescent="0.25">
      <c r="A9" s="239">
        <f>+Input!$K$11</f>
        <v>2004</v>
      </c>
      <c r="B9" s="239">
        <f>+Input!$L$11</f>
        <v>0</v>
      </c>
      <c r="C9" s="243">
        <f>+Input!$M$11</f>
        <v>0</v>
      </c>
      <c r="D9" s="239" t="e">
        <f>VLOOKUP(B9,Removal!$B$5:K$41,6)*C9</f>
        <v>#N/A</v>
      </c>
      <c r="E9" s="244" t="e">
        <f>IF(+E8-F8+Worksheet!Q24&lt;0,0,+E8-F8+Worksheet!Q24)</f>
        <v>#N/A</v>
      </c>
      <c r="F9" s="239" t="e">
        <f>VLOOKUP(B9,Removal!$B$5:$K$41,4)*C9</f>
        <v>#N/A</v>
      </c>
      <c r="G9" s="245" t="e">
        <f>IF((E9&lt;D9),+D9-E9,0)</f>
        <v>#N/A</v>
      </c>
    </row>
    <row r="10" spans="1:10" x14ac:dyDescent="0.25">
      <c r="A10" s="239">
        <f>+Input!$K$12</f>
        <v>2005</v>
      </c>
      <c r="B10" s="239">
        <f>+Input!$L$12</f>
        <v>0</v>
      </c>
      <c r="C10" s="243">
        <f>+Input!$M$12</f>
        <v>0</v>
      </c>
      <c r="D10" s="239" t="e">
        <f>VLOOKUP(B10,Removal!$B$5:K$41,6)*C10</f>
        <v>#N/A</v>
      </c>
      <c r="E10" s="244" t="e">
        <f>IF(+E9-F9+Worksheet!Q25&lt;0,0,+E9-F9+Worksheet!Q25)</f>
        <v>#N/A</v>
      </c>
      <c r="F10" s="239" t="e">
        <f>VLOOKUP(B10,Removal!$B$5:$K$41,4)*C10</f>
        <v>#N/A</v>
      </c>
      <c r="G10" s="245" t="e">
        <f>IF((E10&lt;D10),+D10-E10,0)</f>
        <v>#N/A</v>
      </c>
    </row>
    <row r="11" spans="1:10" x14ac:dyDescent="0.25">
      <c r="E11" s="244"/>
    </row>
    <row r="12" spans="1:10" x14ac:dyDescent="0.25">
      <c r="E12" s="244"/>
      <c r="J12" s="244"/>
    </row>
    <row r="28" spans="4:4" x14ac:dyDescent="0.25">
      <c r="D28" s="244"/>
    </row>
  </sheetData>
  <sheetProtection password="C0DF" sheet="1" objects="1" scenarios="1" selectLockedCells="1" selectUnlockedCells="1"/>
  <phoneticPr fontId="0" type="noConversion"/>
  <pageMargins left="0.67" right="0.54" top="0.6" bottom="0.73" header="0.54" footer="0.5"/>
  <pageSetup orientation="landscape" r:id="rId1"/>
  <headerFooter alignWithMargins="0">
    <oddFooter>&amp;L&amp;8File: &amp;F    Tab: &amp;A&amp;R&amp;8NUP version 3.5 revised April, 2010;    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3:L76"/>
  <sheetViews>
    <sheetView showOutlineSymbols="0" zoomScale="87" zoomScaleNormal="87" workbookViewId="0">
      <selection sqref="A1:IV65536"/>
    </sheetView>
  </sheetViews>
  <sheetFormatPr defaultColWidth="9.6328125" defaultRowHeight="13.2" x14ac:dyDescent="0.25"/>
  <cols>
    <col min="1" max="1" width="4.81640625" style="60" customWidth="1"/>
    <col min="2" max="2" width="9.6328125" style="60" customWidth="1"/>
    <col min="3" max="3" width="4.81640625" style="60" customWidth="1"/>
    <col min="4" max="6" width="8.81640625" style="60" customWidth="1"/>
    <col min="7" max="12" width="8.36328125" style="60" customWidth="1"/>
    <col min="13" max="13" width="8.6328125" style="60" customWidth="1"/>
    <col min="14" max="16384" width="9.6328125" style="60"/>
  </cols>
  <sheetData>
    <row r="3" spans="2:12" x14ac:dyDescent="0.25">
      <c r="B3" s="57" t="s">
        <v>539</v>
      </c>
    </row>
    <row r="5" spans="2:12" ht="13.8" thickBot="1" x14ac:dyDescent="0.3">
      <c r="B5" s="129" t="s">
        <v>197</v>
      </c>
      <c r="C5" s="129"/>
      <c r="D5" s="130" t="s">
        <v>211</v>
      </c>
      <c r="E5" s="130" t="s">
        <v>212</v>
      </c>
      <c r="F5" s="130" t="s">
        <v>213</v>
      </c>
      <c r="G5" s="130" t="s">
        <v>211</v>
      </c>
      <c r="H5" s="130" t="s">
        <v>212</v>
      </c>
      <c r="I5" s="130" t="s">
        <v>213</v>
      </c>
      <c r="J5" s="130" t="s">
        <v>211</v>
      </c>
      <c r="K5" s="130" t="s">
        <v>212</v>
      </c>
      <c r="L5" s="130" t="s">
        <v>213</v>
      </c>
    </row>
    <row r="6" spans="2:12" x14ac:dyDescent="0.25">
      <c r="B6" s="248">
        <v>0</v>
      </c>
      <c r="D6" s="248" t="s">
        <v>198</v>
      </c>
      <c r="E6" s="248" t="s">
        <v>198</v>
      </c>
      <c r="F6" s="248" t="s">
        <v>198</v>
      </c>
      <c r="G6" s="248" t="s">
        <v>92</v>
      </c>
      <c r="H6" s="248" t="s">
        <v>92</v>
      </c>
      <c r="I6" s="248" t="s">
        <v>92</v>
      </c>
      <c r="J6" s="289">
        <v>1</v>
      </c>
      <c r="K6" s="289">
        <v>1</v>
      </c>
      <c r="L6" s="289">
        <v>1</v>
      </c>
    </row>
    <row r="7" spans="2:12" x14ac:dyDescent="0.25">
      <c r="B7" s="248">
        <v>51</v>
      </c>
      <c r="D7" s="248" t="s">
        <v>199</v>
      </c>
      <c r="E7" s="248" t="s">
        <v>199</v>
      </c>
      <c r="F7" s="248" t="s">
        <v>199</v>
      </c>
      <c r="G7" s="248" t="s">
        <v>200</v>
      </c>
      <c r="H7" s="248" t="s">
        <v>200</v>
      </c>
      <c r="I7" s="248" t="s">
        <v>200</v>
      </c>
      <c r="J7" s="289">
        <v>1.5</v>
      </c>
      <c r="K7" s="289">
        <v>1.5</v>
      </c>
      <c r="L7" s="289">
        <v>1.5</v>
      </c>
    </row>
    <row r="8" spans="2:12" x14ac:dyDescent="0.25">
      <c r="B8" s="248">
        <v>76</v>
      </c>
      <c r="D8" s="248" t="s">
        <v>199</v>
      </c>
      <c r="E8" s="248" t="s">
        <v>199</v>
      </c>
      <c r="F8" s="248" t="s">
        <v>201</v>
      </c>
      <c r="G8" s="248" t="s">
        <v>200</v>
      </c>
      <c r="H8" s="248" t="s">
        <v>200</v>
      </c>
      <c r="I8" s="248" t="s">
        <v>200</v>
      </c>
      <c r="J8" s="289">
        <v>1.5</v>
      </c>
      <c r="K8" s="289">
        <v>1.5</v>
      </c>
      <c r="L8" s="289">
        <v>1</v>
      </c>
    </row>
    <row r="9" spans="2:12" x14ac:dyDescent="0.25">
      <c r="B9" s="248">
        <v>101</v>
      </c>
      <c r="D9" s="248" t="s">
        <v>199</v>
      </c>
      <c r="E9" s="248" t="s">
        <v>201</v>
      </c>
      <c r="F9" s="248" t="s">
        <v>202</v>
      </c>
      <c r="G9" s="248" t="s">
        <v>200</v>
      </c>
      <c r="H9" s="248" t="s">
        <v>200</v>
      </c>
      <c r="I9" s="248" t="s">
        <v>202</v>
      </c>
      <c r="J9" s="289">
        <v>1.5</v>
      </c>
      <c r="K9" s="289">
        <v>1</v>
      </c>
      <c r="L9" s="289">
        <v>0</v>
      </c>
    </row>
    <row r="10" spans="2:12" x14ac:dyDescent="0.25">
      <c r="B10" s="248">
        <v>151</v>
      </c>
      <c r="D10" s="248" t="s">
        <v>201</v>
      </c>
      <c r="E10" s="248" t="s">
        <v>202</v>
      </c>
      <c r="F10" s="248" t="s">
        <v>202</v>
      </c>
      <c r="G10" s="248" t="s">
        <v>200</v>
      </c>
      <c r="H10" s="248" t="s">
        <v>202</v>
      </c>
      <c r="I10" s="248" t="s">
        <v>202</v>
      </c>
      <c r="J10" s="289">
        <v>1</v>
      </c>
      <c r="K10" s="289">
        <v>0</v>
      </c>
      <c r="L10" s="289">
        <v>0</v>
      </c>
    </row>
    <row r="11" spans="2:12" x14ac:dyDescent="0.25">
      <c r="B11" s="279">
        <v>201</v>
      </c>
      <c r="C11" s="278"/>
      <c r="D11" s="279" t="s">
        <v>202</v>
      </c>
      <c r="E11" s="279" t="s">
        <v>202</v>
      </c>
      <c r="F11" s="279" t="s">
        <v>202</v>
      </c>
      <c r="G11" s="279" t="s">
        <v>202</v>
      </c>
      <c r="H11" s="279" t="s">
        <v>202</v>
      </c>
      <c r="I11" s="279" t="s">
        <v>202</v>
      </c>
      <c r="J11" s="290">
        <v>0</v>
      </c>
      <c r="K11" s="290">
        <v>0</v>
      </c>
      <c r="L11" s="290">
        <v>0</v>
      </c>
    </row>
    <row r="12" spans="2:12" x14ac:dyDescent="0.25">
      <c r="D12" s="248"/>
      <c r="E12" s="248"/>
      <c r="F12" s="248"/>
      <c r="G12" s="248"/>
      <c r="H12" s="248"/>
      <c r="I12" s="248"/>
      <c r="J12" s="248"/>
      <c r="K12" s="248"/>
      <c r="L12" s="248"/>
    </row>
    <row r="13" spans="2:12" x14ac:dyDescent="0.25">
      <c r="B13" s="278" t="s">
        <v>78</v>
      </c>
      <c r="C13" s="278"/>
      <c r="D13" s="279"/>
      <c r="E13" s="279"/>
      <c r="F13" s="279"/>
      <c r="G13" s="279"/>
      <c r="H13" s="279"/>
      <c r="I13" s="279"/>
      <c r="J13" s="279"/>
      <c r="K13" s="279"/>
      <c r="L13" s="279"/>
    </row>
    <row r="14" spans="2:12" x14ac:dyDescent="0.25">
      <c r="B14" s="248">
        <v>0</v>
      </c>
      <c r="D14" s="248" t="s">
        <v>198</v>
      </c>
      <c r="E14" s="248" t="s">
        <v>198</v>
      </c>
      <c r="F14" s="248" t="s">
        <v>198</v>
      </c>
      <c r="G14" s="248" t="s">
        <v>92</v>
      </c>
      <c r="H14" s="248" t="s">
        <v>92</v>
      </c>
      <c r="I14" s="248" t="s">
        <v>92</v>
      </c>
      <c r="J14" s="289">
        <v>1</v>
      </c>
      <c r="K14" s="289">
        <v>1</v>
      </c>
      <c r="L14" s="289">
        <v>1</v>
      </c>
    </row>
    <row r="15" spans="2:12" x14ac:dyDescent="0.25">
      <c r="B15" s="248">
        <v>20</v>
      </c>
      <c r="D15" s="248" t="s">
        <v>199</v>
      </c>
      <c r="E15" s="248" t="s">
        <v>199</v>
      </c>
      <c r="F15" s="248" t="s">
        <v>199</v>
      </c>
      <c r="G15" s="248" t="s">
        <v>200</v>
      </c>
      <c r="H15" s="248" t="s">
        <v>200</v>
      </c>
      <c r="I15" s="248" t="s">
        <v>200</v>
      </c>
      <c r="J15" s="289">
        <v>1.5</v>
      </c>
      <c r="K15" s="289">
        <v>1.5</v>
      </c>
      <c r="L15" s="289">
        <v>1.5</v>
      </c>
    </row>
    <row r="16" spans="2:12" x14ac:dyDescent="0.25">
      <c r="B16" s="248">
        <v>30</v>
      </c>
      <c r="D16" s="248" t="s">
        <v>199</v>
      </c>
      <c r="E16" s="248" t="s">
        <v>199</v>
      </c>
      <c r="F16" s="248" t="s">
        <v>201</v>
      </c>
      <c r="G16" s="248" t="s">
        <v>200</v>
      </c>
      <c r="H16" s="248" t="s">
        <v>200</v>
      </c>
      <c r="I16" s="248" t="s">
        <v>200</v>
      </c>
      <c r="J16" s="289">
        <v>1.5</v>
      </c>
      <c r="K16" s="289">
        <v>1.5</v>
      </c>
      <c r="L16" s="289">
        <v>1</v>
      </c>
    </row>
    <row r="17" spans="1:12" x14ac:dyDescent="0.25">
      <c r="B17" s="248">
        <v>39</v>
      </c>
      <c r="D17" s="248" t="s">
        <v>199</v>
      </c>
      <c r="E17" s="248" t="s">
        <v>201</v>
      </c>
      <c r="F17" s="248" t="s">
        <v>202</v>
      </c>
      <c r="G17" s="248" t="s">
        <v>200</v>
      </c>
      <c r="H17" s="248" t="s">
        <v>200</v>
      </c>
      <c r="I17" s="248" t="s">
        <v>202</v>
      </c>
      <c r="J17" s="289">
        <v>1.5</v>
      </c>
      <c r="K17" s="289">
        <v>1</v>
      </c>
      <c r="L17" s="289">
        <v>0</v>
      </c>
    </row>
    <row r="18" spans="1:12" x14ac:dyDescent="0.25">
      <c r="B18" s="248">
        <v>58</v>
      </c>
      <c r="D18" s="248" t="s">
        <v>201</v>
      </c>
      <c r="E18" s="248" t="s">
        <v>202</v>
      </c>
      <c r="F18" s="248" t="s">
        <v>202</v>
      </c>
      <c r="G18" s="248" t="s">
        <v>200</v>
      </c>
      <c r="H18" s="248" t="s">
        <v>202</v>
      </c>
      <c r="I18" s="248" t="s">
        <v>202</v>
      </c>
      <c r="J18" s="289">
        <v>1</v>
      </c>
      <c r="K18" s="289">
        <v>0</v>
      </c>
      <c r="L18" s="289">
        <v>0</v>
      </c>
    </row>
    <row r="19" spans="1:12" ht="13.8" thickBot="1" x14ac:dyDescent="0.3">
      <c r="B19" s="130">
        <v>77</v>
      </c>
      <c r="C19" s="129"/>
      <c r="D19" s="130" t="s">
        <v>202</v>
      </c>
      <c r="E19" s="130" t="s">
        <v>202</v>
      </c>
      <c r="F19" s="130" t="s">
        <v>202</v>
      </c>
      <c r="G19" s="130" t="s">
        <v>202</v>
      </c>
      <c r="H19" s="130" t="s">
        <v>202</v>
      </c>
      <c r="I19" s="130" t="s">
        <v>202</v>
      </c>
      <c r="J19" s="291">
        <v>0</v>
      </c>
      <c r="K19" s="291">
        <v>0</v>
      </c>
      <c r="L19" s="291">
        <v>0</v>
      </c>
    </row>
    <row r="29" spans="1:12" x14ac:dyDescent="0.25">
      <c r="B29" s="57" t="s">
        <v>539</v>
      </c>
    </row>
    <row r="31" spans="1:12" ht="13.8" thickBot="1" x14ac:dyDescent="0.3">
      <c r="B31" s="129" t="s">
        <v>197</v>
      </c>
      <c r="C31" s="129"/>
      <c r="D31" s="130" t="s">
        <v>211</v>
      </c>
      <c r="E31" s="130" t="s">
        <v>212</v>
      </c>
      <c r="F31" s="130" t="s">
        <v>213</v>
      </c>
      <c r="G31" s="130" t="s">
        <v>211</v>
      </c>
      <c r="H31" s="130" t="s">
        <v>212</v>
      </c>
      <c r="I31" s="130" t="s">
        <v>213</v>
      </c>
      <c r="J31" s="130" t="s">
        <v>211</v>
      </c>
      <c r="K31" s="130" t="s">
        <v>212</v>
      </c>
      <c r="L31" s="130" t="s">
        <v>213</v>
      </c>
    </row>
    <row r="32" spans="1:12" x14ac:dyDescent="0.25">
      <c r="A32" s="248" t="s">
        <v>146</v>
      </c>
      <c r="B32" s="248">
        <v>1000</v>
      </c>
      <c r="D32" s="248" t="s">
        <v>198</v>
      </c>
      <c r="E32" s="248" t="s">
        <v>198</v>
      </c>
      <c r="F32" s="248" t="s">
        <v>198</v>
      </c>
      <c r="G32" s="248" t="s">
        <v>92</v>
      </c>
      <c r="H32" s="248" t="s">
        <v>92</v>
      </c>
      <c r="I32" s="248" t="s">
        <v>92</v>
      </c>
      <c r="J32" s="289">
        <v>1</v>
      </c>
      <c r="K32" s="289">
        <v>1</v>
      </c>
      <c r="L32" s="289">
        <v>1</v>
      </c>
    </row>
    <row r="33" spans="1:12" x14ac:dyDescent="0.25">
      <c r="A33" s="248"/>
      <c r="B33" s="248">
        <v>1051</v>
      </c>
      <c r="D33" s="248" t="s">
        <v>199</v>
      </c>
      <c r="E33" s="248" t="s">
        <v>199</v>
      </c>
      <c r="F33" s="248" t="s">
        <v>199</v>
      </c>
      <c r="G33" s="248" t="s">
        <v>200</v>
      </c>
      <c r="H33" s="248" t="s">
        <v>200</v>
      </c>
      <c r="I33" s="248" t="s">
        <v>200</v>
      </c>
      <c r="J33" s="289">
        <v>1.5</v>
      </c>
      <c r="K33" s="289">
        <v>1.5</v>
      </c>
      <c r="L33" s="289">
        <v>1.5</v>
      </c>
    </row>
    <row r="34" spans="1:12" x14ac:dyDescent="0.25">
      <c r="A34" s="248"/>
      <c r="B34" s="248">
        <v>1076</v>
      </c>
      <c r="D34" s="248" t="s">
        <v>199</v>
      </c>
      <c r="E34" s="248" t="s">
        <v>199</v>
      </c>
      <c r="F34" s="248" t="s">
        <v>201</v>
      </c>
      <c r="G34" s="248" t="s">
        <v>200</v>
      </c>
      <c r="H34" s="248" t="s">
        <v>200</v>
      </c>
      <c r="I34" s="248" t="s">
        <v>200</v>
      </c>
      <c r="J34" s="289">
        <v>1.5</v>
      </c>
      <c r="K34" s="289">
        <v>1.5</v>
      </c>
      <c r="L34" s="289">
        <v>1</v>
      </c>
    </row>
    <row r="35" spans="1:12" x14ac:dyDescent="0.25">
      <c r="A35" s="248"/>
      <c r="B35" s="248">
        <v>1101</v>
      </c>
      <c r="D35" s="248" t="s">
        <v>199</v>
      </c>
      <c r="E35" s="248" t="s">
        <v>201</v>
      </c>
      <c r="F35" s="248" t="s">
        <v>202</v>
      </c>
      <c r="G35" s="248" t="s">
        <v>200</v>
      </c>
      <c r="H35" s="248" t="s">
        <v>200</v>
      </c>
      <c r="I35" s="248" t="s">
        <v>202</v>
      </c>
      <c r="J35" s="289">
        <v>1.5</v>
      </c>
      <c r="K35" s="289">
        <v>1</v>
      </c>
      <c r="L35" s="289">
        <v>0</v>
      </c>
    </row>
    <row r="36" spans="1:12" x14ac:dyDescent="0.25">
      <c r="A36" s="248"/>
      <c r="B36" s="248">
        <v>1151</v>
      </c>
      <c r="D36" s="248" t="s">
        <v>201</v>
      </c>
      <c r="E36" s="248" t="s">
        <v>202</v>
      </c>
      <c r="F36" s="248" t="s">
        <v>202</v>
      </c>
      <c r="G36" s="248" t="s">
        <v>200</v>
      </c>
      <c r="H36" s="248" t="s">
        <v>202</v>
      </c>
      <c r="I36" s="248" t="s">
        <v>202</v>
      </c>
      <c r="J36" s="289">
        <v>1</v>
      </c>
      <c r="K36" s="289">
        <v>0</v>
      </c>
      <c r="L36" s="289">
        <v>0</v>
      </c>
    </row>
    <row r="37" spans="1:12" x14ac:dyDescent="0.25">
      <c r="A37" s="248"/>
      <c r="B37" s="279">
        <v>1201</v>
      </c>
      <c r="C37" s="278"/>
      <c r="D37" s="279" t="s">
        <v>202</v>
      </c>
      <c r="E37" s="279" t="s">
        <v>202</v>
      </c>
      <c r="F37" s="279" t="s">
        <v>202</v>
      </c>
      <c r="G37" s="279" t="s">
        <v>202</v>
      </c>
      <c r="H37" s="279" t="s">
        <v>202</v>
      </c>
      <c r="I37" s="279" t="s">
        <v>202</v>
      </c>
      <c r="J37" s="290">
        <v>0</v>
      </c>
      <c r="K37" s="290">
        <v>0</v>
      </c>
      <c r="L37" s="290">
        <v>0</v>
      </c>
    </row>
    <row r="38" spans="1:12" x14ac:dyDescent="0.25">
      <c r="A38" s="248" t="s">
        <v>151</v>
      </c>
      <c r="B38" s="248">
        <v>2000</v>
      </c>
      <c r="D38" s="248" t="s">
        <v>199</v>
      </c>
      <c r="E38" s="248" t="s">
        <v>199</v>
      </c>
      <c r="F38" s="248" t="s">
        <v>199</v>
      </c>
      <c r="G38" s="248" t="s">
        <v>200</v>
      </c>
      <c r="H38" s="248" t="s">
        <v>200</v>
      </c>
      <c r="I38" s="248" t="s">
        <v>200</v>
      </c>
      <c r="J38" s="289">
        <v>1.5</v>
      </c>
      <c r="K38" s="289">
        <v>1.5</v>
      </c>
      <c r="L38" s="289">
        <v>1.5</v>
      </c>
    </row>
    <row r="39" spans="1:12" x14ac:dyDescent="0.25">
      <c r="A39" s="248"/>
      <c r="B39" s="248">
        <v>2051</v>
      </c>
      <c r="D39" s="248" t="s">
        <v>199</v>
      </c>
      <c r="E39" s="248" t="s">
        <v>199</v>
      </c>
      <c r="F39" s="248" t="s">
        <v>199</v>
      </c>
      <c r="G39" s="248" t="s">
        <v>200</v>
      </c>
      <c r="H39" s="248" t="s">
        <v>200</v>
      </c>
      <c r="I39" s="248" t="s">
        <v>200</v>
      </c>
      <c r="J39" s="289">
        <v>1.5</v>
      </c>
      <c r="K39" s="289">
        <v>1.5</v>
      </c>
      <c r="L39" s="289">
        <v>1.5</v>
      </c>
    </row>
    <row r="40" spans="1:12" x14ac:dyDescent="0.25">
      <c r="A40" s="248"/>
      <c r="B40" s="248">
        <v>2076</v>
      </c>
      <c r="D40" s="248" t="s">
        <v>199</v>
      </c>
      <c r="E40" s="248" t="s">
        <v>199</v>
      </c>
      <c r="F40" s="248" t="s">
        <v>201</v>
      </c>
      <c r="G40" s="248" t="s">
        <v>200</v>
      </c>
      <c r="H40" s="248" t="s">
        <v>200</v>
      </c>
      <c r="I40" s="248" t="s">
        <v>200</v>
      </c>
      <c r="J40" s="289">
        <v>1.5</v>
      </c>
      <c r="K40" s="289">
        <v>1.5</v>
      </c>
      <c r="L40" s="289">
        <v>1</v>
      </c>
    </row>
    <row r="41" spans="1:12" x14ac:dyDescent="0.25">
      <c r="A41" s="248"/>
      <c r="B41" s="248">
        <v>2101</v>
      </c>
      <c r="D41" s="248" t="s">
        <v>199</v>
      </c>
      <c r="E41" s="248" t="s">
        <v>201</v>
      </c>
      <c r="F41" s="248" t="s">
        <v>202</v>
      </c>
      <c r="G41" s="248" t="s">
        <v>200</v>
      </c>
      <c r="H41" s="248" t="s">
        <v>200</v>
      </c>
      <c r="I41" s="248" t="s">
        <v>202</v>
      </c>
      <c r="J41" s="289">
        <v>1.5</v>
      </c>
      <c r="K41" s="289">
        <v>1</v>
      </c>
      <c r="L41" s="289">
        <v>0</v>
      </c>
    </row>
    <row r="42" spans="1:12" x14ac:dyDescent="0.25">
      <c r="A42" s="248"/>
      <c r="B42" s="248">
        <v>2151</v>
      </c>
      <c r="D42" s="248" t="s">
        <v>201</v>
      </c>
      <c r="E42" s="248" t="s">
        <v>202</v>
      </c>
      <c r="F42" s="248" t="s">
        <v>202</v>
      </c>
      <c r="G42" s="248" t="s">
        <v>200</v>
      </c>
      <c r="H42" s="248" t="s">
        <v>202</v>
      </c>
      <c r="I42" s="248" t="s">
        <v>202</v>
      </c>
      <c r="J42" s="289">
        <v>1</v>
      </c>
      <c r="K42" s="289">
        <v>0</v>
      </c>
      <c r="L42" s="289">
        <v>0</v>
      </c>
    </row>
    <row r="43" spans="1:12" x14ac:dyDescent="0.25">
      <c r="A43" s="248"/>
      <c r="B43" s="279">
        <v>2201</v>
      </c>
      <c r="C43" s="278"/>
      <c r="D43" s="279" t="s">
        <v>202</v>
      </c>
      <c r="E43" s="279" t="s">
        <v>202</v>
      </c>
      <c r="F43" s="279" t="s">
        <v>202</v>
      </c>
      <c r="G43" s="279" t="s">
        <v>202</v>
      </c>
      <c r="H43" s="279" t="s">
        <v>202</v>
      </c>
      <c r="I43" s="279" t="s">
        <v>202</v>
      </c>
      <c r="J43" s="290">
        <v>0</v>
      </c>
      <c r="K43" s="290">
        <v>0</v>
      </c>
      <c r="L43" s="290">
        <v>0</v>
      </c>
    </row>
    <row r="44" spans="1:12" x14ac:dyDescent="0.25">
      <c r="A44" s="248" t="s">
        <v>155</v>
      </c>
      <c r="B44" s="248">
        <v>3000</v>
      </c>
      <c r="D44" s="248" t="s">
        <v>198</v>
      </c>
      <c r="E44" s="248" t="s">
        <v>198</v>
      </c>
      <c r="F44" s="248" t="s">
        <v>198</v>
      </c>
      <c r="G44" s="248" t="s">
        <v>92</v>
      </c>
      <c r="H44" s="248" t="s">
        <v>92</v>
      </c>
      <c r="I44" s="248" t="s">
        <v>92</v>
      </c>
      <c r="J44" s="289">
        <v>1</v>
      </c>
      <c r="K44" s="289">
        <v>1</v>
      </c>
      <c r="L44" s="289">
        <v>1</v>
      </c>
    </row>
    <row r="45" spans="1:12" x14ac:dyDescent="0.25">
      <c r="B45" s="248">
        <v>3051</v>
      </c>
      <c r="D45" s="248" t="s">
        <v>199</v>
      </c>
      <c r="E45" s="248" t="s">
        <v>199</v>
      </c>
      <c r="F45" s="248" t="s">
        <v>199</v>
      </c>
      <c r="G45" s="248" t="s">
        <v>200</v>
      </c>
      <c r="H45" s="248" t="s">
        <v>200</v>
      </c>
      <c r="I45" s="248" t="s">
        <v>200</v>
      </c>
      <c r="J45" s="289">
        <v>1.5</v>
      </c>
      <c r="K45" s="289">
        <v>1.5</v>
      </c>
      <c r="L45" s="289">
        <v>1.5</v>
      </c>
    </row>
    <row r="46" spans="1:12" x14ac:dyDescent="0.25">
      <c r="B46" s="248">
        <v>3076</v>
      </c>
      <c r="D46" s="248" t="s">
        <v>199</v>
      </c>
      <c r="E46" s="248" t="s">
        <v>199</v>
      </c>
      <c r="F46" s="248" t="s">
        <v>201</v>
      </c>
      <c r="G46" s="248" t="s">
        <v>200</v>
      </c>
      <c r="H46" s="248" t="s">
        <v>200</v>
      </c>
      <c r="I46" s="248" t="s">
        <v>200</v>
      </c>
      <c r="J46" s="289">
        <v>1.5</v>
      </c>
      <c r="K46" s="289">
        <v>1.5</v>
      </c>
      <c r="L46" s="289">
        <v>1</v>
      </c>
    </row>
    <row r="47" spans="1:12" x14ac:dyDescent="0.25">
      <c r="B47" s="248">
        <v>3101</v>
      </c>
      <c r="D47" s="248" t="s">
        <v>199</v>
      </c>
      <c r="E47" s="248" t="s">
        <v>201</v>
      </c>
      <c r="F47" s="248" t="s">
        <v>202</v>
      </c>
      <c r="G47" s="248" t="s">
        <v>200</v>
      </c>
      <c r="H47" s="248" t="s">
        <v>200</v>
      </c>
      <c r="I47" s="248" t="s">
        <v>202</v>
      </c>
      <c r="J47" s="289">
        <v>1.5</v>
      </c>
      <c r="K47" s="289">
        <v>1</v>
      </c>
      <c r="L47" s="289">
        <v>0</v>
      </c>
    </row>
    <row r="48" spans="1:12" x14ac:dyDescent="0.25">
      <c r="B48" s="248">
        <v>3151</v>
      </c>
      <c r="D48" s="248" t="s">
        <v>201</v>
      </c>
      <c r="E48" s="248" t="s">
        <v>202</v>
      </c>
      <c r="F48" s="248" t="s">
        <v>202</v>
      </c>
      <c r="G48" s="248" t="s">
        <v>200</v>
      </c>
      <c r="H48" s="248" t="s">
        <v>202</v>
      </c>
      <c r="I48" s="248" t="s">
        <v>202</v>
      </c>
      <c r="J48" s="289">
        <v>1</v>
      </c>
      <c r="K48" s="289">
        <v>0</v>
      </c>
      <c r="L48" s="289">
        <v>0</v>
      </c>
    </row>
    <row r="49" spans="1:12" ht="13.8" thickBot="1" x14ac:dyDescent="0.3">
      <c r="B49" s="130">
        <v>3201</v>
      </c>
      <c r="C49" s="129"/>
      <c r="D49" s="130" t="s">
        <v>202</v>
      </c>
      <c r="E49" s="130" t="s">
        <v>202</v>
      </c>
      <c r="F49" s="130" t="s">
        <v>202</v>
      </c>
      <c r="G49" s="130" t="s">
        <v>202</v>
      </c>
      <c r="H49" s="130" t="s">
        <v>202</v>
      </c>
      <c r="I49" s="130" t="s">
        <v>202</v>
      </c>
      <c r="J49" s="291">
        <v>0</v>
      </c>
      <c r="K49" s="291">
        <v>0</v>
      </c>
      <c r="L49" s="291">
        <v>0</v>
      </c>
    </row>
    <row r="50" spans="1:12" x14ac:dyDescent="0.25">
      <c r="B50" s="60" t="s">
        <v>277</v>
      </c>
    </row>
    <row r="55" spans="1:12" x14ac:dyDescent="0.25">
      <c r="B55" s="57" t="s">
        <v>539</v>
      </c>
    </row>
    <row r="57" spans="1:12" ht="13.8" thickBot="1" x14ac:dyDescent="0.3">
      <c r="B57" s="129" t="s">
        <v>78</v>
      </c>
      <c r="C57" s="129"/>
      <c r="D57" s="130" t="s">
        <v>211</v>
      </c>
      <c r="E57" s="130" t="s">
        <v>212</v>
      </c>
      <c r="F57" s="130" t="s">
        <v>213</v>
      </c>
      <c r="G57" s="130" t="s">
        <v>211</v>
      </c>
      <c r="H57" s="130" t="s">
        <v>212</v>
      </c>
      <c r="I57" s="130" t="s">
        <v>213</v>
      </c>
      <c r="J57" s="130" t="s">
        <v>211</v>
      </c>
      <c r="K57" s="130" t="s">
        <v>212</v>
      </c>
      <c r="L57" s="130" t="s">
        <v>213</v>
      </c>
    </row>
    <row r="58" spans="1:12" x14ac:dyDescent="0.25">
      <c r="A58" s="248" t="s">
        <v>146</v>
      </c>
      <c r="B58" s="248">
        <v>1000</v>
      </c>
      <c r="D58" s="248" t="s">
        <v>198</v>
      </c>
      <c r="E58" s="248" t="s">
        <v>198</v>
      </c>
      <c r="F58" s="248" t="s">
        <v>198</v>
      </c>
      <c r="G58" s="248" t="s">
        <v>92</v>
      </c>
      <c r="H58" s="248" t="s">
        <v>92</v>
      </c>
      <c r="I58" s="248" t="s">
        <v>92</v>
      </c>
      <c r="J58" s="289">
        <v>1</v>
      </c>
      <c r="K58" s="289">
        <v>1</v>
      </c>
      <c r="L58" s="289">
        <v>1</v>
      </c>
    </row>
    <row r="59" spans="1:12" x14ac:dyDescent="0.25">
      <c r="A59" s="248"/>
      <c r="B59" s="248">
        <v>1020</v>
      </c>
      <c r="D59" s="248" t="s">
        <v>199</v>
      </c>
      <c r="E59" s="248" t="s">
        <v>199</v>
      </c>
      <c r="F59" s="248" t="s">
        <v>199</v>
      </c>
      <c r="G59" s="248" t="s">
        <v>200</v>
      </c>
      <c r="H59" s="248" t="s">
        <v>200</v>
      </c>
      <c r="I59" s="248" t="s">
        <v>200</v>
      </c>
      <c r="J59" s="289">
        <v>1.5</v>
      </c>
      <c r="K59" s="289">
        <v>1.5</v>
      </c>
      <c r="L59" s="289">
        <v>1.5</v>
      </c>
    </row>
    <row r="60" spans="1:12" x14ac:dyDescent="0.25">
      <c r="A60" s="248"/>
      <c r="B60" s="248">
        <v>1030</v>
      </c>
      <c r="D60" s="248" t="s">
        <v>199</v>
      </c>
      <c r="E60" s="248" t="s">
        <v>199</v>
      </c>
      <c r="F60" s="248" t="s">
        <v>201</v>
      </c>
      <c r="G60" s="248" t="s">
        <v>200</v>
      </c>
      <c r="H60" s="248" t="s">
        <v>200</v>
      </c>
      <c r="I60" s="248" t="s">
        <v>200</v>
      </c>
      <c r="J60" s="289">
        <v>1.5</v>
      </c>
      <c r="K60" s="289">
        <v>1.5</v>
      </c>
      <c r="L60" s="289">
        <v>1</v>
      </c>
    </row>
    <row r="61" spans="1:12" x14ac:dyDescent="0.25">
      <c r="A61" s="248"/>
      <c r="B61" s="248">
        <v>1039</v>
      </c>
      <c r="D61" s="248" t="s">
        <v>199</v>
      </c>
      <c r="E61" s="248" t="s">
        <v>201</v>
      </c>
      <c r="F61" s="248" t="s">
        <v>202</v>
      </c>
      <c r="G61" s="248" t="s">
        <v>200</v>
      </c>
      <c r="H61" s="248" t="s">
        <v>200</v>
      </c>
      <c r="I61" s="248" t="s">
        <v>202</v>
      </c>
      <c r="J61" s="289">
        <v>1.5</v>
      </c>
      <c r="K61" s="289">
        <v>1</v>
      </c>
      <c r="L61" s="289">
        <v>0</v>
      </c>
    </row>
    <row r="62" spans="1:12" x14ac:dyDescent="0.25">
      <c r="A62" s="248"/>
      <c r="B62" s="248">
        <v>1058</v>
      </c>
      <c r="D62" s="248" t="s">
        <v>201</v>
      </c>
      <c r="E62" s="248" t="s">
        <v>202</v>
      </c>
      <c r="F62" s="248" t="s">
        <v>202</v>
      </c>
      <c r="G62" s="248" t="s">
        <v>200</v>
      </c>
      <c r="H62" s="248" t="s">
        <v>202</v>
      </c>
      <c r="I62" s="248" t="s">
        <v>202</v>
      </c>
      <c r="J62" s="289">
        <v>1</v>
      </c>
      <c r="K62" s="289">
        <v>0</v>
      </c>
      <c r="L62" s="289">
        <v>0</v>
      </c>
    </row>
    <row r="63" spans="1:12" x14ac:dyDescent="0.25">
      <c r="A63" s="248"/>
      <c r="B63" s="279">
        <v>1077</v>
      </c>
      <c r="C63" s="278"/>
      <c r="D63" s="279" t="s">
        <v>202</v>
      </c>
      <c r="E63" s="279" t="s">
        <v>202</v>
      </c>
      <c r="F63" s="279" t="s">
        <v>202</v>
      </c>
      <c r="G63" s="279" t="s">
        <v>202</v>
      </c>
      <c r="H63" s="279" t="s">
        <v>202</v>
      </c>
      <c r="I63" s="279" t="s">
        <v>202</v>
      </c>
      <c r="J63" s="290">
        <v>0</v>
      </c>
      <c r="K63" s="290">
        <v>0</v>
      </c>
      <c r="L63" s="290">
        <v>0</v>
      </c>
    </row>
    <row r="64" spans="1:12" x14ac:dyDescent="0.25">
      <c r="A64" s="248" t="s">
        <v>151</v>
      </c>
      <c r="B64" s="248">
        <v>2000</v>
      </c>
      <c r="D64" s="248" t="s">
        <v>199</v>
      </c>
      <c r="E64" s="248" t="s">
        <v>199</v>
      </c>
      <c r="F64" s="248" t="s">
        <v>199</v>
      </c>
      <c r="G64" s="248" t="s">
        <v>200</v>
      </c>
      <c r="H64" s="248" t="s">
        <v>200</v>
      </c>
      <c r="I64" s="248" t="s">
        <v>200</v>
      </c>
      <c r="J64" s="289">
        <v>1.5</v>
      </c>
      <c r="K64" s="289">
        <v>1.5</v>
      </c>
      <c r="L64" s="289">
        <v>1.5</v>
      </c>
    </row>
    <row r="65" spans="1:12" x14ac:dyDescent="0.25">
      <c r="A65" s="248"/>
      <c r="B65" s="248">
        <v>2020</v>
      </c>
      <c r="D65" s="248" t="s">
        <v>199</v>
      </c>
      <c r="E65" s="248" t="s">
        <v>199</v>
      </c>
      <c r="F65" s="248" t="s">
        <v>199</v>
      </c>
      <c r="G65" s="248" t="s">
        <v>200</v>
      </c>
      <c r="H65" s="248" t="s">
        <v>200</v>
      </c>
      <c r="I65" s="248" t="s">
        <v>200</v>
      </c>
      <c r="J65" s="289">
        <v>1.5</v>
      </c>
      <c r="K65" s="289">
        <v>1.5</v>
      </c>
      <c r="L65" s="289">
        <v>1.5</v>
      </c>
    </row>
    <row r="66" spans="1:12" x14ac:dyDescent="0.25">
      <c r="A66" s="248"/>
      <c r="B66" s="248">
        <v>2030</v>
      </c>
      <c r="D66" s="248" t="s">
        <v>199</v>
      </c>
      <c r="E66" s="248" t="s">
        <v>199</v>
      </c>
      <c r="F66" s="248" t="s">
        <v>201</v>
      </c>
      <c r="G66" s="248" t="s">
        <v>200</v>
      </c>
      <c r="H66" s="248" t="s">
        <v>200</v>
      </c>
      <c r="I66" s="248" t="s">
        <v>200</v>
      </c>
      <c r="J66" s="289">
        <v>1.5</v>
      </c>
      <c r="K66" s="289">
        <v>1.5</v>
      </c>
      <c r="L66" s="289">
        <v>1</v>
      </c>
    </row>
    <row r="67" spans="1:12" x14ac:dyDescent="0.25">
      <c r="A67" s="248"/>
      <c r="B67" s="248">
        <v>2039</v>
      </c>
      <c r="D67" s="248" t="s">
        <v>199</v>
      </c>
      <c r="E67" s="248" t="s">
        <v>201</v>
      </c>
      <c r="F67" s="248" t="s">
        <v>202</v>
      </c>
      <c r="G67" s="248" t="s">
        <v>200</v>
      </c>
      <c r="H67" s="248" t="s">
        <v>200</v>
      </c>
      <c r="I67" s="248" t="s">
        <v>202</v>
      </c>
      <c r="J67" s="289">
        <v>1.5</v>
      </c>
      <c r="K67" s="289">
        <v>1</v>
      </c>
      <c r="L67" s="289">
        <v>0</v>
      </c>
    </row>
    <row r="68" spans="1:12" x14ac:dyDescent="0.25">
      <c r="A68" s="248"/>
      <c r="B68" s="248">
        <v>2058</v>
      </c>
      <c r="D68" s="248" t="s">
        <v>201</v>
      </c>
      <c r="E68" s="248" t="s">
        <v>202</v>
      </c>
      <c r="F68" s="248" t="s">
        <v>202</v>
      </c>
      <c r="G68" s="248" t="s">
        <v>200</v>
      </c>
      <c r="H68" s="248" t="s">
        <v>202</v>
      </c>
      <c r="I68" s="248" t="s">
        <v>202</v>
      </c>
      <c r="J68" s="289">
        <v>1</v>
      </c>
      <c r="K68" s="289">
        <v>0</v>
      </c>
      <c r="L68" s="289">
        <v>0</v>
      </c>
    </row>
    <row r="69" spans="1:12" x14ac:dyDescent="0.25">
      <c r="A69" s="248"/>
      <c r="B69" s="279">
        <v>2077</v>
      </c>
      <c r="C69" s="278"/>
      <c r="D69" s="279" t="s">
        <v>202</v>
      </c>
      <c r="E69" s="279" t="s">
        <v>202</v>
      </c>
      <c r="F69" s="279" t="s">
        <v>202</v>
      </c>
      <c r="G69" s="279" t="s">
        <v>202</v>
      </c>
      <c r="H69" s="279" t="s">
        <v>202</v>
      </c>
      <c r="I69" s="279" t="s">
        <v>202</v>
      </c>
      <c r="J69" s="290">
        <v>0</v>
      </c>
      <c r="K69" s="290">
        <v>0</v>
      </c>
      <c r="L69" s="290">
        <v>0</v>
      </c>
    </row>
    <row r="70" spans="1:12" x14ac:dyDescent="0.25">
      <c r="A70" s="248" t="s">
        <v>155</v>
      </c>
      <c r="B70" s="248">
        <v>3000</v>
      </c>
      <c r="D70" s="248" t="s">
        <v>198</v>
      </c>
      <c r="E70" s="248" t="s">
        <v>198</v>
      </c>
      <c r="F70" s="248" t="s">
        <v>198</v>
      </c>
      <c r="G70" s="248" t="s">
        <v>92</v>
      </c>
      <c r="H70" s="248" t="s">
        <v>92</v>
      </c>
      <c r="I70" s="248" t="s">
        <v>92</v>
      </c>
      <c r="J70" s="289">
        <v>1</v>
      </c>
      <c r="K70" s="289">
        <v>1</v>
      </c>
      <c r="L70" s="289">
        <v>1</v>
      </c>
    </row>
    <row r="71" spans="1:12" x14ac:dyDescent="0.25">
      <c r="B71" s="248">
        <v>3020</v>
      </c>
      <c r="D71" s="248" t="s">
        <v>199</v>
      </c>
      <c r="E71" s="248" t="s">
        <v>199</v>
      </c>
      <c r="F71" s="248" t="s">
        <v>199</v>
      </c>
      <c r="G71" s="248" t="s">
        <v>200</v>
      </c>
      <c r="H71" s="248" t="s">
        <v>200</v>
      </c>
      <c r="I71" s="248" t="s">
        <v>200</v>
      </c>
      <c r="J71" s="289">
        <v>1.5</v>
      </c>
      <c r="K71" s="289">
        <v>1.5</v>
      </c>
      <c r="L71" s="289">
        <v>1.5</v>
      </c>
    </row>
    <row r="72" spans="1:12" x14ac:dyDescent="0.25">
      <c r="B72" s="248">
        <v>3030</v>
      </c>
      <c r="D72" s="248" t="s">
        <v>199</v>
      </c>
      <c r="E72" s="248" t="s">
        <v>199</v>
      </c>
      <c r="F72" s="248" t="s">
        <v>201</v>
      </c>
      <c r="G72" s="248" t="s">
        <v>200</v>
      </c>
      <c r="H72" s="248" t="s">
        <v>200</v>
      </c>
      <c r="I72" s="248" t="s">
        <v>200</v>
      </c>
      <c r="J72" s="289">
        <v>1.5</v>
      </c>
      <c r="K72" s="289">
        <v>1.5</v>
      </c>
      <c r="L72" s="289">
        <v>1</v>
      </c>
    </row>
    <row r="73" spans="1:12" x14ac:dyDescent="0.25">
      <c r="B73" s="248">
        <v>3039</v>
      </c>
      <c r="D73" s="248" t="s">
        <v>199</v>
      </c>
      <c r="E73" s="248" t="s">
        <v>201</v>
      </c>
      <c r="F73" s="248" t="s">
        <v>202</v>
      </c>
      <c r="G73" s="248" t="s">
        <v>200</v>
      </c>
      <c r="H73" s="248" t="s">
        <v>200</v>
      </c>
      <c r="I73" s="248" t="s">
        <v>202</v>
      </c>
      <c r="J73" s="289">
        <v>1.5</v>
      </c>
      <c r="K73" s="289">
        <v>1</v>
      </c>
      <c r="L73" s="289">
        <v>0</v>
      </c>
    </row>
    <row r="74" spans="1:12" x14ac:dyDescent="0.25">
      <c r="B74" s="248">
        <v>3058</v>
      </c>
      <c r="D74" s="248" t="s">
        <v>201</v>
      </c>
      <c r="E74" s="248" t="s">
        <v>202</v>
      </c>
      <c r="F74" s="248" t="s">
        <v>202</v>
      </c>
      <c r="G74" s="248" t="s">
        <v>200</v>
      </c>
      <c r="H74" s="248" t="s">
        <v>202</v>
      </c>
      <c r="I74" s="248" t="s">
        <v>202</v>
      </c>
      <c r="J74" s="289">
        <v>1</v>
      </c>
      <c r="K74" s="289">
        <v>0</v>
      </c>
      <c r="L74" s="289">
        <v>0</v>
      </c>
    </row>
    <row r="75" spans="1:12" ht="13.8" thickBot="1" x14ac:dyDescent="0.3">
      <c r="B75" s="130">
        <v>3077</v>
      </c>
      <c r="C75" s="129"/>
      <c r="D75" s="130" t="s">
        <v>202</v>
      </c>
      <c r="E75" s="130" t="s">
        <v>202</v>
      </c>
      <c r="F75" s="130" t="s">
        <v>202</v>
      </c>
      <c r="G75" s="130" t="s">
        <v>202</v>
      </c>
      <c r="H75" s="130" t="s">
        <v>202</v>
      </c>
      <c r="I75" s="130" t="s">
        <v>202</v>
      </c>
      <c r="J75" s="291">
        <v>0</v>
      </c>
      <c r="K75" s="291">
        <v>0</v>
      </c>
      <c r="L75" s="291">
        <v>0</v>
      </c>
    </row>
    <row r="76" spans="1:12" x14ac:dyDescent="0.25">
      <c r="B76" s="60" t="s">
        <v>277</v>
      </c>
    </row>
  </sheetData>
  <sheetProtection password="C0DF" sheet="1" objects="1" scenarios="1" selectLockedCells="1" selectUnlockedCells="1"/>
  <phoneticPr fontId="0" type="noConversion"/>
  <pageMargins left="0.67" right="0.54" top="0.6" bottom="0.73" header="0.54" footer="0.5"/>
  <pageSetup orientation="landscape" horizontalDpi="4294967292" verticalDpi="300" r:id="rId1"/>
  <headerFooter alignWithMargins="0">
    <oddFooter>&amp;L&amp;8File: &amp;F    Tab: &amp;A&amp;R&amp;8NUP version 3.5 revised April, 2010;    Page &amp;P of &amp;N</oddFooter>
  </headerFooter>
  <rowBreaks count="2" manualBreakCount="2">
    <brk id="26" max="16383" man="1"/>
    <brk id="52" max="1638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A3:G19"/>
  <sheetViews>
    <sheetView showOutlineSymbols="0" zoomScale="87" workbookViewId="0"/>
  </sheetViews>
  <sheetFormatPr defaultColWidth="9.6328125" defaultRowHeight="13.2" x14ac:dyDescent="0.25"/>
  <cols>
    <col min="1" max="2" width="9.6328125" style="60" customWidth="1"/>
    <col min="3" max="3" width="29.6328125" style="60" customWidth="1"/>
    <col min="4" max="4" width="10.6328125" style="60" customWidth="1"/>
    <col min="5" max="16384" width="9.6328125" style="60"/>
  </cols>
  <sheetData>
    <row r="3" spans="1:7" x14ac:dyDescent="0.25">
      <c r="B3" s="57" t="s">
        <v>531</v>
      </c>
    </row>
    <row r="5" spans="1:7" ht="13.8" thickBot="1" x14ac:dyDescent="0.3">
      <c r="B5" s="129" t="s">
        <v>203</v>
      </c>
      <c r="C5" s="129"/>
      <c r="D5" s="129" t="s">
        <v>204</v>
      </c>
      <c r="E5" s="332" t="s">
        <v>92</v>
      </c>
      <c r="F5" s="332" t="s">
        <v>173</v>
      </c>
    </row>
    <row r="6" spans="1:7" x14ac:dyDescent="0.25">
      <c r="A6" s="148" t="str">
        <f>IF(Input!R24=B6,"==&gt;","")</f>
        <v/>
      </c>
      <c r="B6" s="248">
        <v>1</v>
      </c>
      <c r="C6" s="60" t="s">
        <v>205</v>
      </c>
      <c r="D6" s="60" t="s">
        <v>84</v>
      </c>
      <c r="E6" s="210">
        <f>IF(AND(Input!R24=B6,E$17&gt;0),E$17,5.8)</f>
        <v>5.8</v>
      </c>
      <c r="F6" s="210">
        <f>IF(AND(Input!R24=B6,F$17&gt;0),F$17,9.2)</f>
        <v>9.1999999999999993</v>
      </c>
      <c r="G6" s="333" t="str">
        <f>IF(Input!R24=B6,"&lt;==","")</f>
        <v/>
      </c>
    </row>
    <row r="7" spans="1:7" x14ac:dyDescent="0.25">
      <c r="A7" s="148" t="str">
        <f>IF(Input!R24=B7,"==&gt;","")</f>
        <v/>
      </c>
      <c r="B7" s="248">
        <v>2</v>
      </c>
      <c r="C7" s="60" t="s">
        <v>206</v>
      </c>
      <c r="D7" s="60" t="s">
        <v>84</v>
      </c>
      <c r="E7" s="210">
        <f>IF(AND(Input!R24=B7,E$17&gt;0),E$17,2.8)</f>
        <v>2.8</v>
      </c>
      <c r="F7" s="210">
        <f>IF(AND(Input!R24=B7,F$17&gt;0),F$17,9.2)</f>
        <v>9.1999999999999993</v>
      </c>
      <c r="G7" s="333" t="str">
        <f>IF(Input!R24=B7,"&lt;==","")</f>
        <v/>
      </c>
    </row>
    <row r="8" spans="1:7" x14ac:dyDescent="0.25">
      <c r="A8" s="148" t="str">
        <f>IF(Input!R24=B8,"==&gt;","")</f>
        <v/>
      </c>
      <c r="B8" s="248">
        <v>3</v>
      </c>
      <c r="C8" s="60" t="s">
        <v>207</v>
      </c>
      <c r="D8" s="60" t="s">
        <v>84</v>
      </c>
      <c r="E8" s="210">
        <f>IF(AND(Input!R24=B8,E$17&gt;0),E$17,4.7)</f>
        <v>4.7</v>
      </c>
      <c r="F8" s="210">
        <f>IF(AND(Input!R24=B8,F$17&gt;0),F$17,7.1)</f>
        <v>7.1</v>
      </c>
      <c r="G8" s="333" t="str">
        <f>IF(Input!R24=B8,"&lt;==","")</f>
        <v/>
      </c>
    </row>
    <row r="9" spans="1:7" x14ac:dyDescent="0.25">
      <c r="A9" s="148" t="str">
        <f>IF(Input!R24=B9,"==&gt;","")</f>
        <v/>
      </c>
      <c r="B9" s="248">
        <v>4</v>
      </c>
      <c r="C9" s="60" t="s">
        <v>208</v>
      </c>
      <c r="D9" s="60" t="s">
        <v>84</v>
      </c>
      <c r="E9" s="210">
        <f>IF(AND(Input!R24=B9,E$17&gt;0),E$17,2.2)</f>
        <v>2.2000000000000002</v>
      </c>
      <c r="F9" s="210">
        <f>IF(AND(Input!R24=B9,F$17&gt;0),F$17,7.1)</f>
        <v>7.1</v>
      </c>
      <c r="G9" s="333" t="str">
        <f>IF(Input!R24=B9,"&lt;==","")</f>
        <v/>
      </c>
    </row>
    <row r="10" spans="1:7" x14ac:dyDescent="0.25">
      <c r="A10" s="148" t="str">
        <f>IF(Input!R24=B10,"==&gt;","")</f>
        <v/>
      </c>
      <c r="B10" s="248">
        <v>5</v>
      </c>
      <c r="C10" s="60" t="s">
        <v>288</v>
      </c>
      <c r="D10" s="60" t="s">
        <v>209</v>
      </c>
      <c r="E10" s="210">
        <f>IF(AND(Input!R24=B10,E$17&gt;0),E$17,94.6)</f>
        <v>94.6</v>
      </c>
      <c r="F10" s="210">
        <f>IF(AND(Input!R24=B10,F$17&gt;0),F$17,113.1)</f>
        <v>113.1</v>
      </c>
      <c r="G10" s="333" t="str">
        <f>IF(Input!R24=B10,"&lt;==","")</f>
        <v/>
      </c>
    </row>
    <row r="11" spans="1:7" x14ac:dyDescent="0.25">
      <c r="A11" s="148" t="str">
        <f>IF(Input!R24=B11,"==&gt;","")</f>
        <v/>
      </c>
      <c r="B11" s="248">
        <v>6</v>
      </c>
      <c r="C11" s="60" t="s">
        <v>289</v>
      </c>
      <c r="D11" s="60" t="s">
        <v>209</v>
      </c>
      <c r="E11" s="210">
        <f>IF(AND(Input!R24=B11,E$17&gt;0),E$17,40.7)</f>
        <v>40.700000000000003</v>
      </c>
      <c r="F11" s="210">
        <f>IF(AND(Input!R24=B11,F$17&gt;0),F$17,113.1)</f>
        <v>113.1</v>
      </c>
      <c r="G11" s="333" t="str">
        <f>IF(Input!R24=B11,"&lt;==","")</f>
        <v/>
      </c>
    </row>
    <row r="12" spans="1:7" x14ac:dyDescent="0.25">
      <c r="A12" s="148" t="str">
        <f>IF(Input!R24=B12,"==&gt;","")</f>
        <v/>
      </c>
      <c r="B12" s="248">
        <v>7</v>
      </c>
      <c r="C12" s="60" t="s">
        <v>290</v>
      </c>
      <c r="D12" s="60" t="s">
        <v>209</v>
      </c>
      <c r="E12" s="210">
        <f>IF(AND(Input!R24=B12,E$17&gt;0),E$17,10.8)</f>
        <v>10.8</v>
      </c>
      <c r="F12" s="210">
        <f>IF(AND(Input!R24=B12,F$17&gt;0),F$17,8.6)</f>
        <v>8.6</v>
      </c>
      <c r="G12" s="333" t="str">
        <f>IF(Input!R24=B12,"&lt;==","")</f>
        <v/>
      </c>
    </row>
    <row r="13" spans="1:7" x14ac:dyDescent="0.25">
      <c r="A13" s="148" t="str">
        <f>IF(Input!R24=B13,"==&gt;","")</f>
        <v/>
      </c>
      <c r="B13" s="279">
        <v>8</v>
      </c>
      <c r="C13" s="278" t="s">
        <v>291</v>
      </c>
      <c r="D13" s="278" t="s">
        <v>209</v>
      </c>
      <c r="E13" s="211">
        <f>IF(AND(Input!R24=B13,E$17&gt;0),E$17,4.6)</f>
        <v>4.5999999999999996</v>
      </c>
      <c r="F13" s="211">
        <f>IF(AND(Input!R24=B13,F$17&gt;0),F$17,8.6)</f>
        <v>8.6</v>
      </c>
      <c r="G13" s="333" t="str">
        <f>IF(Input!R24=B13,"&lt;==","")</f>
        <v/>
      </c>
    </row>
    <row r="14" spans="1:7" ht="13.8" thickBot="1" x14ac:dyDescent="0.3">
      <c r="B14" s="334"/>
      <c r="C14" s="334"/>
      <c r="D14" s="334"/>
      <c r="E14" s="147"/>
      <c r="F14" s="147"/>
      <c r="G14" s="333"/>
    </row>
    <row r="15" spans="1:7" x14ac:dyDescent="0.25">
      <c r="E15" s="148"/>
      <c r="F15" s="148"/>
    </row>
    <row r="16" spans="1:7" x14ac:dyDescent="0.25">
      <c r="E16" s="148"/>
      <c r="F16" s="148"/>
    </row>
    <row r="17" spans="2:6" x14ac:dyDescent="0.25">
      <c r="B17" s="57" t="s">
        <v>210</v>
      </c>
      <c r="C17" s="57"/>
      <c r="D17" s="57"/>
      <c r="E17" s="149">
        <f>IF(Input!R24&gt;4,SM_Analysis!L39,SM_Analysis!L38)</f>
        <v>0</v>
      </c>
      <c r="F17" s="150" t="b">
        <f>IF(Input!C31&gt;0,SM_Analysis!L42)</f>
        <v>0</v>
      </c>
    </row>
    <row r="19" spans="2:6" x14ac:dyDescent="0.25">
      <c r="E19" s="149"/>
    </row>
  </sheetData>
  <sheetProtection password="C0DF" sheet="1" objects="1" scenarios="1" selectLockedCells="1" selectUnlockedCells="1"/>
  <phoneticPr fontId="0" type="noConversion"/>
  <pageMargins left="0.67" right="0.54" top="0.6" bottom="0.73" header="0.54" footer="0.5"/>
  <pageSetup orientation="landscape" r:id="rId1"/>
  <headerFooter alignWithMargins="0">
    <oddFooter>&amp;L&amp;8File: &amp;F    Tab: &amp;A&amp;R&amp;8NUP version 3.5 revised April, 2010;    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10</vt:i4>
      </vt:variant>
      <vt:variant>
        <vt:lpstr>Charts</vt:lpstr>
      </vt:variant>
      <vt:variant>
        <vt:i4>1</vt:i4>
      </vt:variant>
      <vt:variant>
        <vt:lpstr>Named Ranges</vt:lpstr>
      </vt:variant>
      <vt:variant>
        <vt:i4>21</vt:i4>
      </vt:variant>
    </vt:vector>
  </HeadingPairs>
  <TitlesOfParts>
    <vt:vector size="32" baseType="lpstr">
      <vt:lpstr>Instructions</vt:lpstr>
      <vt:lpstr>Fields</vt:lpstr>
      <vt:lpstr>Input</vt:lpstr>
      <vt:lpstr>Worksheet</vt:lpstr>
      <vt:lpstr>SM_Analysis</vt:lpstr>
      <vt:lpstr>Removal</vt:lpstr>
      <vt:lpstr>Summary</vt:lpstr>
      <vt:lpstr>Nitrogen Rates</vt:lpstr>
      <vt:lpstr>Soil Test P</vt:lpstr>
      <vt:lpstr>Manure</vt:lpstr>
      <vt:lpstr>PPM</vt:lpstr>
      <vt:lpstr>Application</vt:lpstr>
      <vt:lpstr>Bray</vt:lpstr>
      <vt:lpstr>CATEGORY</vt:lpstr>
      <vt:lpstr>County</vt:lpstr>
      <vt:lpstr>Crop</vt:lpstr>
      <vt:lpstr>Field</vt:lpstr>
      <vt:lpstr>Field_ID</vt:lpstr>
      <vt:lpstr>MANURE</vt:lpstr>
      <vt:lpstr>Olsen</vt:lpstr>
      <vt:lpstr>Previous</vt:lpstr>
      <vt:lpstr>Fields!Print_Area</vt:lpstr>
      <vt:lpstr>Input!Print_Area</vt:lpstr>
      <vt:lpstr>Instructions!Print_Area</vt:lpstr>
      <vt:lpstr>Removal!Print_Area</vt:lpstr>
      <vt:lpstr>SM_Analysis!Print_Area</vt:lpstr>
      <vt:lpstr>Summary!Print_Area</vt:lpstr>
      <vt:lpstr>Worksheet!Print_Area</vt:lpstr>
      <vt:lpstr>Rainfall</vt:lpstr>
      <vt:lpstr>Rate</vt:lpstr>
      <vt:lpstr>REMOVAL</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Swine NUP</dc:title>
  <dc:creator>Kansas Department of Agriculture</dc:creator>
  <cp:keywords/>
  <dc:description/>
  <cp:lastModifiedBy>jrozwick</cp:lastModifiedBy>
  <cp:lastPrinted>2010-06-07T21:05:38Z</cp:lastPrinted>
  <dcterms:created xsi:type="dcterms:W3CDTF">1999-04-10T21:28:58Z</dcterms:created>
  <dcterms:modified xsi:type="dcterms:W3CDTF">2019-04-18T19:02:45Z</dcterms:modified>
</cp:coreProperties>
</file>